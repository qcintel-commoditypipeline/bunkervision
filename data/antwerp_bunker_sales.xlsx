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FA2DB5C6-837F-416E-9B0F-3F653746DC92}" xr6:coauthVersionLast="47" xr6:coauthVersionMax="47" xr10:uidLastSave="{00000000-0000-0000-0000-000000000000}"/>
  <bookViews>
    <workbookView xWindow="28680" yWindow="-7755" windowWidth="29040" windowHeight="16440" xr2:uid="{EDE0969D-831F-4DFD-B2F3-84A400301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M40" i="1"/>
  <c r="M38" i="1"/>
  <c r="M39" i="1"/>
  <c r="M37" i="1"/>
  <c r="M36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35" i="1"/>
</calcChain>
</file>

<file path=xl/sharedStrings.xml><?xml version="1.0" encoding="utf-8"?>
<sst xmlns="http://schemas.openxmlformats.org/spreadsheetml/2006/main" count="51" uniqueCount="51">
  <si>
    <t>Lubes</t>
  </si>
  <si>
    <t>Gasoil</t>
  </si>
  <si>
    <t>Marine diesel</t>
  </si>
  <si>
    <t xml:space="preserve">Ultra low sulphur fuel oil </t>
  </si>
  <si>
    <t>Very low sulphur fuel oil</t>
  </si>
  <si>
    <t>High sulphur fuel oil</t>
  </si>
  <si>
    <t>Total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</si>
  <si>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</si>
  <si>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</si>
  <si>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</si>
  <si>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</si>
  <si>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</si>
  <si>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</si>
  <si>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</si>
  <si>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</si>
  <si>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</si>
  <si>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</si>
  <si>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</si>
  <si>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</si>
  <si>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</si>
  <si>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</si>
  <si>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</si>
  <si>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</si>
  <si>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</si>
  <si>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</si>
  <si>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</si>
  <si>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</si>
  <si>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</si>
  <si>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</si>
  <si>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</si>
  <si>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</si>
  <si>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</si>
  <si>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</si>
  <si>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</si>
  <si>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</si>
  <si>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</si>
  <si>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</si>
  <si>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LNG</t>
  </si>
  <si>
    <t>Q3 2023</t>
  </si>
  <si>
    <t>Q4 2023</t>
  </si>
  <si>
    <t>Q1 2024</t>
  </si>
  <si>
    <t>Unspecified FO</t>
  </si>
  <si>
    <t>Q2 2024</t>
  </si>
  <si>
    <t>Methanol</t>
  </si>
  <si>
    <t>Q3 2024</t>
  </si>
  <si>
    <t>Biofuel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</si>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</sst>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3" fontId="0" fillId="0" borderId="0" xfId="0" applyNumberFormat="1"/>
    <xf numFmtId="16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Lubes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Sheet1!$C$2:$C$41</c:f>
              <c:numCache>
                <c:formatCode>_-* #,##0_-;\-* #,##0_-;_-* "-"??_-;_-@_-</c:formatCode>
                <c:ptCount val="40"/>
                <c:pt idx="0">
                  <c:v>4696</c:v>
                </c:pt>
                <c:pt idx="1">
                  <c:v>9046</c:v>
                </c:pt>
                <c:pt idx="2">
                  <c:v>20938</c:v>
                </c:pt>
                <c:pt idx="3">
                  <c:v>32466</c:v>
                </c:pt>
                <c:pt idx="4">
                  <c:v>6518</c:v>
                </c:pt>
                <c:pt idx="5">
                  <c:v>30030</c:v>
                </c:pt>
                <c:pt idx="6">
                  <c:v>12070</c:v>
                </c:pt>
                <c:pt idx="7">
                  <c:v>80247</c:v>
                </c:pt>
                <c:pt idx="8">
                  <c:v>78831</c:v>
                </c:pt>
                <c:pt idx="9">
                  <c:v>29379</c:v>
                </c:pt>
                <c:pt idx="10">
                  <c:v>61171</c:v>
                </c:pt>
                <c:pt idx="11">
                  <c:v>30958</c:v>
                </c:pt>
                <c:pt idx="12">
                  <c:v>7395</c:v>
                </c:pt>
                <c:pt idx="13">
                  <c:v>5671</c:v>
                </c:pt>
                <c:pt idx="14">
                  <c:v>5793</c:v>
                </c:pt>
                <c:pt idx="15">
                  <c:v>14241</c:v>
                </c:pt>
                <c:pt idx="16">
                  <c:v>10157</c:v>
                </c:pt>
                <c:pt idx="17">
                  <c:v>7137</c:v>
                </c:pt>
                <c:pt idx="18">
                  <c:v>7996</c:v>
                </c:pt>
                <c:pt idx="19">
                  <c:v>9003</c:v>
                </c:pt>
                <c:pt idx="20">
                  <c:v>9113</c:v>
                </c:pt>
                <c:pt idx="21">
                  <c:v>6641</c:v>
                </c:pt>
                <c:pt idx="22">
                  <c:v>6046</c:v>
                </c:pt>
                <c:pt idx="23">
                  <c:v>4528</c:v>
                </c:pt>
                <c:pt idx="24">
                  <c:v>5779</c:v>
                </c:pt>
                <c:pt idx="25">
                  <c:v>6848</c:v>
                </c:pt>
                <c:pt idx="26">
                  <c:v>9887</c:v>
                </c:pt>
                <c:pt idx="27">
                  <c:v>4805</c:v>
                </c:pt>
                <c:pt idx="28">
                  <c:v>8079</c:v>
                </c:pt>
                <c:pt idx="29">
                  <c:v>9719</c:v>
                </c:pt>
                <c:pt idx="30">
                  <c:v>9168</c:v>
                </c:pt>
                <c:pt idx="31">
                  <c:v>8725</c:v>
                </c:pt>
                <c:pt idx="32">
                  <c:v>7449</c:v>
                </c:pt>
                <c:pt idx="33">
                  <c:v>9884</c:v>
                </c:pt>
                <c:pt idx="34">
                  <c:v>8965</c:v>
                </c:pt>
                <c:pt idx="35">
                  <c:v>8303</c:v>
                </c:pt>
                <c:pt idx="36">
                  <c:v>17320</c:v>
                </c:pt>
                <c:pt idx="37">
                  <c:v>7769</c:v>
                </c:pt>
                <c:pt idx="38">
                  <c:v>6513</c:v>
                </c:pt>
                <c:pt idx="39">
                  <c:v>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1-4462-BEE8-64B1CA395B1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Gasoil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Sheet1!$D$2:$D$41</c:f>
              <c:numCache>
                <c:formatCode>_-* #,##0_-;\-* #,##0_-;_-* "-"??_-;_-@_-</c:formatCode>
                <c:ptCount val="40"/>
                <c:pt idx="0">
                  <c:v>89456</c:v>
                </c:pt>
                <c:pt idx="1">
                  <c:v>125939</c:v>
                </c:pt>
                <c:pt idx="2">
                  <c:v>140425</c:v>
                </c:pt>
                <c:pt idx="3">
                  <c:v>11768</c:v>
                </c:pt>
                <c:pt idx="4">
                  <c:v>142726</c:v>
                </c:pt>
                <c:pt idx="5">
                  <c:v>150009</c:v>
                </c:pt>
                <c:pt idx="6">
                  <c:v>156041</c:v>
                </c:pt>
                <c:pt idx="7">
                  <c:v>208219</c:v>
                </c:pt>
                <c:pt idx="8">
                  <c:v>183679</c:v>
                </c:pt>
                <c:pt idx="9">
                  <c:v>167519</c:v>
                </c:pt>
                <c:pt idx="10">
                  <c:v>343274</c:v>
                </c:pt>
                <c:pt idx="11">
                  <c:v>181195</c:v>
                </c:pt>
                <c:pt idx="12">
                  <c:v>161826</c:v>
                </c:pt>
                <c:pt idx="13">
                  <c:v>245324</c:v>
                </c:pt>
                <c:pt idx="14">
                  <c:v>276406</c:v>
                </c:pt>
                <c:pt idx="15">
                  <c:v>412147</c:v>
                </c:pt>
                <c:pt idx="16">
                  <c:v>266393</c:v>
                </c:pt>
                <c:pt idx="17">
                  <c:v>180041</c:v>
                </c:pt>
                <c:pt idx="18">
                  <c:v>229415</c:v>
                </c:pt>
                <c:pt idx="19">
                  <c:v>231843</c:v>
                </c:pt>
                <c:pt idx="20">
                  <c:v>287678</c:v>
                </c:pt>
                <c:pt idx="21">
                  <c:v>84704</c:v>
                </c:pt>
                <c:pt idx="22">
                  <c:v>44940</c:v>
                </c:pt>
                <c:pt idx="23">
                  <c:v>13511</c:v>
                </c:pt>
                <c:pt idx="24">
                  <c:v>62378</c:v>
                </c:pt>
                <c:pt idx="25">
                  <c:v>61410</c:v>
                </c:pt>
                <c:pt idx="26">
                  <c:v>144823</c:v>
                </c:pt>
                <c:pt idx="27">
                  <c:v>152273</c:v>
                </c:pt>
                <c:pt idx="28">
                  <c:v>319926</c:v>
                </c:pt>
                <c:pt idx="29">
                  <c:v>286840</c:v>
                </c:pt>
                <c:pt idx="30">
                  <c:v>312048</c:v>
                </c:pt>
                <c:pt idx="31">
                  <c:v>289838</c:v>
                </c:pt>
                <c:pt idx="32">
                  <c:v>416668</c:v>
                </c:pt>
                <c:pt idx="33">
                  <c:v>318325</c:v>
                </c:pt>
                <c:pt idx="34">
                  <c:v>330326</c:v>
                </c:pt>
                <c:pt idx="35">
                  <c:v>325692</c:v>
                </c:pt>
                <c:pt idx="36">
                  <c:v>352867</c:v>
                </c:pt>
                <c:pt idx="37">
                  <c:v>434766</c:v>
                </c:pt>
                <c:pt idx="38">
                  <c:v>341255</c:v>
                </c:pt>
                <c:pt idx="39">
                  <c:v>345899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1-4462-BEE8-64B1CA395B1C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Marine diesel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Sheet1!$E$2:$E$36</c:f>
              <c:numCache>
                <c:formatCode>_-* #,##0_-;\-* #,##0_-;_-* "-"??_-;_-@_-</c:formatCode>
                <c:ptCount val="35"/>
                <c:pt idx="14">
                  <c:v>180</c:v>
                </c:pt>
                <c:pt idx="15">
                  <c:v>320</c:v>
                </c:pt>
                <c:pt idx="20">
                  <c:v>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1-4462-BEE8-64B1CA395B1C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Ultra low sulphur fuel oil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Sheet1!$G$2:$G$41</c:f>
              <c:numCache>
                <c:formatCode>_-* #,##0_-;\-* #,##0_-;_-* "-"??_-;_-@_-</c:formatCode>
                <c:ptCount val="40"/>
                <c:pt idx="0">
                  <c:v>181740</c:v>
                </c:pt>
                <c:pt idx="1">
                  <c:v>172571</c:v>
                </c:pt>
                <c:pt idx="2">
                  <c:v>171746</c:v>
                </c:pt>
                <c:pt idx="3">
                  <c:v>143698</c:v>
                </c:pt>
                <c:pt idx="4">
                  <c:v>191451</c:v>
                </c:pt>
                <c:pt idx="5">
                  <c:v>160892</c:v>
                </c:pt>
                <c:pt idx="6">
                  <c:v>148268</c:v>
                </c:pt>
                <c:pt idx="7">
                  <c:v>126675</c:v>
                </c:pt>
                <c:pt idx="8">
                  <c:v>143082</c:v>
                </c:pt>
                <c:pt idx="9">
                  <c:v>150502</c:v>
                </c:pt>
                <c:pt idx="10">
                  <c:v>122054</c:v>
                </c:pt>
                <c:pt idx="11">
                  <c:v>244660</c:v>
                </c:pt>
                <c:pt idx="12">
                  <c:v>132293</c:v>
                </c:pt>
                <c:pt idx="13">
                  <c:v>201037</c:v>
                </c:pt>
                <c:pt idx="14">
                  <c:v>205705</c:v>
                </c:pt>
                <c:pt idx="15">
                  <c:v>137438</c:v>
                </c:pt>
                <c:pt idx="16">
                  <c:v>122617</c:v>
                </c:pt>
                <c:pt idx="17">
                  <c:v>82118</c:v>
                </c:pt>
                <c:pt idx="18">
                  <c:v>110252</c:v>
                </c:pt>
                <c:pt idx="19">
                  <c:v>63412</c:v>
                </c:pt>
                <c:pt idx="20">
                  <c:v>73384</c:v>
                </c:pt>
                <c:pt idx="21">
                  <c:v>148834</c:v>
                </c:pt>
                <c:pt idx="22">
                  <c:v>224883</c:v>
                </c:pt>
                <c:pt idx="23">
                  <c:v>175066</c:v>
                </c:pt>
                <c:pt idx="24">
                  <c:v>88023</c:v>
                </c:pt>
                <c:pt idx="25">
                  <c:v>142884</c:v>
                </c:pt>
                <c:pt idx="26">
                  <c:v>239050</c:v>
                </c:pt>
                <c:pt idx="27">
                  <c:v>126723</c:v>
                </c:pt>
                <c:pt idx="28">
                  <c:v>94315</c:v>
                </c:pt>
                <c:pt idx="29">
                  <c:v>113396</c:v>
                </c:pt>
                <c:pt idx="30">
                  <c:v>109972</c:v>
                </c:pt>
                <c:pt idx="31">
                  <c:v>120701</c:v>
                </c:pt>
                <c:pt idx="32">
                  <c:v>110876</c:v>
                </c:pt>
                <c:pt idx="33">
                  <c:v>104949</c:v>
                </c:pt>
                <c:pt idx="34">
                  <c:v>91522</c:v>
                </c:pt>
                <c:pt idx="35">
                  <c:v>101058</c:v>
                </c:pt>
                <c:pt idx="36">
                  <c:v>118447</c:v>
                </c:pt>
                <c:pt idx="37">
                  <c:v>114917</c:v>
                </c:pt>
                <c:pt idx="38">
                  <c:v>140128</c:v>
                </c:pt>
                <c:pt idx="39">
                  <c:v>124634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F1-4462-BEE8-64B1CA395B1C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Very low sulphur fuel oil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Sheet1!$H$2:$H$41</c:f>
              <c:numCache>
                <c:formatCode>_-* #,##0_-;\-* #,##0_-;_-* "-"??_-;_-@_-</c:formatCode>
                <c:ptCount val="40"/>
                <c:pt idx="1">
                  <c:v>1740</c:v>
                </c:pt>
                <c:pt idx="9">
                  <c:v>3773</c:v>
                </c:pt>
                <c:pt idx="10">
                  <c:v>3705</c:v>
                </c:pt>
                <c:pt idx="11">
                  <c:v>2100</c:v>
                </c:pt>
                <c:pt idx="12">
                  <c:v>3399</c:v>
                </c:pt>
                <c:pt idx="13">
                  <c:v>28130</c:v>
                </c:pt>
                <c:pt idx="14">
                  <c:v>13550</c:v>
                </c:pt>
                <c:pt idx="15">
                  <c:v>326640</c:v>
                </c:pt>
                <c:pt idx="16">
                  <c:v>502337</c:v>
                </c:pt>
                <c:pt idx="17">
                  <c:v>249480</c:v>
                </c:pt>
                <c:pt idx="18">
                  <c:v>350632</c:v>
                </c:pt>
                <c:pt idx="19">
                  <c:v>391315</c:v>
                </c:pt>
                <c:pt idx="20">
                  <c:v>828906</c:v>
                </c:pt>
                <c:pt idx="21">
                  <c:v>504822</c:v>
                </c:pt>
                <c:pt idx="22">
                  <c:v>470201</c:v>
                </c:pt>
                <c:pt idx="23">
                  <c:v>373795</c:v>
                </c:pt>
                <c:pt idx="24">
                  <c:v>329149</c:v>
                </c:pt>
                <c:pt idx="25">
                  <c:v>376076</c:v>
                </c:pt>
                <c:pt idx="26">
                  <c:v>775067</c:v>
                </c:pt>
                <c:pt idx="27">
                  <c:v>585019</c:v>
                </c:pt>
                <c:pt idx="28">
                  <c:v>739055</c:v>
                </c:pt>
                <c:pt idx="29">
                  <c:v>608220</c:v>
                </c:pt>
                <c:pt idx="30">
                  <c:v>609332</c:v>
                </c:pt>
                <c:pt idx="31">
                  <c:v>608968</c:v>
                </c:pt>
                <c:pt idx="32">
                  <c:v>699388</c:v>
                </c:pt>
                <c:pt idx="33">
                  <c:v>664352</c:v>
                </c:pt>
                <c:pt idx="34">
                  <c:v>739447</c:v>
                </c:pt>
                <c:pt idx="35">
                  <c:v>675792</c:v>
                </c:pt>
                <c:pt idx="36">
                  <c:v>708410</c:v>
                </c:pt>
                <c:pt idx="37">
                  <c:v>476746</c:v>
                </c:pt>
                <c:pt idx="38">
                  <c:v>536870</c:v>
                </c:pt>
                <c:pt idx="39">
                  <c:v>521017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F1-4462-BEE8-64B1CA395B1C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High sulphur fuel oil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Sheet1!$I$2:$I$41</c:f>
              <c:numCache>
                <c:formatCode>_-* #,##0_-;\-* #,##0_-;_-* "-"??_-;_-@_-</c:formatCode>
                <c:ptCount val="40"/>
                <c:pt idx="0">
                  <c:v>1030504</c:v>
                </c:pt>
                <c:pt idx="1">
                  <c:v>999009</c:v>
                </c:pt>
                <c:pt idx="2">
                  <c:v>926283</c:v>
                </c:pt>
                <c:pt idx="3">
                  <c:v>827290</c:v>
                </c:pt>
                <c:pt idx="4">
                  <c:v>888588</c:v>
                </c:pt>
                <c:pt idx="5">
                  <c:v>936341</c:v>
                </c:pt>
                <c:pt idx="6">
                  <c:v>953045</c:v>
                </c:pt>
                <c:pt idx="7">
                  <c:v>857007</c:v>
                </c:pt>
                <c:pt idx="8">
                  <c:v>913542</c:v>
                </c:pt>
                <c:pt idx="9">
                  <c:v>926683</c:v>
                </c:pt>
                <c:pt idx="10">
                  <c:v>968677</c:v>
                </c:pt>
                <c:pt idx="11">
                  <c:v>1078094</c:v>
                </c:pt>
                <c:pt idx="12">
                  <c:v>753792</c:v>
                </c:pt>
                <c:pt idx="13">
                  <c:v>1086425</c:v>
                </c:pt>
                <c:pt idx="14">
                  <c:v>1054691</c:v>
                </c:pt>
                <c:pt idx="15">
                  <c:v>554975</c:v>
                </c:pt>
                <c:pt idx="16">
                  <c:v>71681</c:v>
                </c:pt>
                <c:pt idx="17">
                  <c:v>92288</c:v>
                </c:pt>
                <c:pt idx="18">
                  <c:v>228598</c:v>
                </c:pt>
                <c:pt idx="19">
                  <c:v>228152</c:v>
                </c:pt>
                <c:pt idx="20">
                  <c:v>286671</c:v>
                </c:pt>
                <c:pt idx="21">
                  <c:v>221908</c:v>
                </c:pt>
                <c:pt idx="22">
                  <c:v>180319</c:v>
                </c:pt>
                <c:pt idx="23">
                  <c:v>132399</c:v>
                </c:pt>
                <c:pt idx="24">
                  <c:v>111234</c:v>
                </c:pt>
                <c:pt idx="25">
                  <c:v>198523</c:v>
                </c:pt>
                <c:pt idx="26">
                  <c:v>135382</c:v>
                </c:pt>
                <c:pt idx="27">
                  <c:v>235956</c:v>
                </c:pt>
                <c:pt idx="28">
                  <c:v>395561</c:v>
                </c:pt>
                <c:pt idx="29">
                  <c:v>531887</c:v>
                </c:pt>
                <c:pt idx="30">
                  <c:v>533249</c:v>
                </c:pt>
                <c:pt idx="31">
                  <c:v>428510</c:v>
                </c:pt>
                <c:pt idx="32">
                  <c:v>460545</c:v>
                </c:pt>
                <c:pt idx="33">
                  <c:v>419489</c:v>
                </c:pt>
                <c:pt idx="34">
                  <c:v>416870</c:v>
                </c:pt>
                <c:pt idx="35">
                  <c:v>604450</c:v>
                </c:pt>
                <c:pt idx="36">
                  <c:v>661352</c:v>
                </c:pt>
                <c:pt idx="37">
                  <c:v>590544</c:v>
                </c:pt>
                <c:pt idx="38">
                  <c:v>535883</c:v>
                </c:pt>
                <c:pt idx="39">
                  <c:v>524229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F1-4462-BEE8-64B1CA395B1C}"/>
            </c:ext>
          </c:extLst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LNG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Sheet1!$B$2:$B$41</c:f>
              <c:strCache>
                <c:ptCount val="40"/>
                <c:pt idx="0">
                  <c:v>Q1 2016</c:v>
                </c:pt>
                <c:pt idx="1">
                  <c:v>Q2 2016</c:v>
                </c:pt>
                <c:pt idx="2">
                  <c:v>Q3 2016</c:v>
                </c:pt>
                <c:pt idx="3">
                  <c:v>Q4 2016</c:v>
                </c:pt>
                <c:pt idx="4">
                  <c:v>Q1 2017</c:v>
                </c:pt>
                <c:pt idx="5">
                  <c:v>Q2 2017</c:v>
                </c:pt>
                <c:pt idx="6">
                  <c:v>Q3 2017</c:v>
                </c:pt>
                <c:pt idx="7">
                  <c:v>Q4 2017</c:v>
                </c:pt>
                <c:pt idx="8">
                  <c:v>Q1 2018</c:v>
                </c:pt>
                <c:pt idx="9">
                  <c:v>Q2 2018</c:v>
                </c:pt>
                <c:pt idx="10">
                  <c:v>Q3 2018</c:v>
                </c:pt>
                <c:pt idx="11">
                  <c:v>Q4 2018</c:v>
                </c:pt>
                <c:pt idx="12">
                  <c:v>Q1 2019</c:v>
                </c:pt>
                <c:pt idx="13">
                  <c:v>Q2 2019</c:v>
                </c:pt>
                <c:pt idx="14">
                  <c:v>Q3 2019</c:v>
                </c:pt>
                <c:pt idx="15">
                  <c:v>Q4 2019</c:v>
                </c:pt>
                <c:pt idx="16">
                  <c:v>Q1 2020</c:v>
                </c:pt>
                <c:pt idx="17">
                  <c:v>Q2 2020</c:v>
                </c:pt>
                <c:pt idx="18">
                  <c:v>Q3 2020</c:v>
                </c:pt>
                <c:pt idx="19">
                  <c:v>Q4 2020</c:v>
                </c:pt>
                <c:pt idx="20">
                  <c:v>Q1 2021</c:v>
                </c:pt>
                <c:pt idx="21">
                  <c:v>Q2 2021</c:v>
                </c:pt>
                <c:pt idx="22">
                  <c:v>Q3 2021</c:v>
                </c:pt>
                <c:pt idx="23">
                  <c:v>Q4 2021</c:v>
                </c:pt>
                <c:pt idx="24">
                  <c:v>Q1 2022</c:v>
                </c:pt>
                <c:pt idx="25">
                  <c:v>Q2 2022</c:v>
                </c:pt>
                <c:pt idx="26">
                  <c:v>Q3 2022</c:v>
                </c:pt>
                <c:pt idx="27">
                  <c:v>Q4 2022</c:v>
                </c:pt>
                <c:pt idx="28">
                  <c:v>Q1 2023</c:v>
                </c:pt>
                <c:pt idx="29">
                  <c:v>Q2 2023</c:v>
                </c:pt>
                <c:pt idx="30">
                  <c:v>Q3 2023</c:v>
                </c:pt>
                <c:pt idx="31">
                  <c:v>Q4 2023</c:v>
                </c:pt>
                <c:pt idx="32">
                  <c:v>Q1 2024</c:v>
                </c:pt>
                <c:pt idx="33">
                  <c:v>Q2 2024</c:v>
                </c:pt>
                <c:pt idx="34">
                  <c:v>Q3 2024</c:v>
                </c:pt>
                <c:pt idx="35">
                  <c:v>Q4 2024</c:v>
                </c:pt>
                <c:pt idx="36">
                  <c:v>Q1 2025</c:v>
                </c:pt>
                <c:pt idx="37">
                  <c:v>Q2 2025</c:v>
                </c:pt>
                <c:pt idx="38">
                  <c:v>Q3 2025</c:v>
                </c:pt>
                <c:pt idx="39">
                  <c:v>Q4 2025</c:v>
                </c:pt>
              </c:strCache>
            </c:strRef>
          </c:cat>
          <c:val>
            <c:numRef>
              <c:f>Sheet1!$J$2:$J$41</c:f>
              <c:numCache>
                <c:formatCode>_-* #,##0_-;\-* #,##0_-;_-* "-"??_-;_-@_-</c:formatCode>
                <c:ptCount val="40"/>
                <c:pt idx="0">
                  <c:v>113</c:v>
                </c:pt>
                <c:pt idx="1">
                  <c:v>113</c:v>
                </c:pt>
                <c:pt idx="2">
                  <c:v>113</c:v>
                </c:pt>
                <c:pt idx="3">
                  <c:v>113</c:v>
                </c:pt>
                <c:pt idx="4">
                  <c:v>188</c:v>
                </c:pt>
                <c:pt idx="5">
                  <c:v>188</c:v>
                </c:pt>
                <c:pt idx="6">
                  <c:v>188</c:v>
                </c:pt>
                <c:pt idx="7">
                  <c:v>188</c:v>
                </c:pt>
                <c:pt idx="8">
                  <c:v>187</c:v>
                </c:pt>
                <c:pt idx="9">
                  <c:v>187</c:v>
                </c:pt>
                <c:pt idx="10">
                  <c:v>187</c:v>
                </c:pt>
                <c:pt idx="11">
                  <c:v>187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572</c:v>
                </c:pt>
                <c:pt idx="17">
                  <c:v>572</c:v>
                </c:pt>
                <c:pt idx="18">
                  <c:v>572</c:v>
                </c:pt>
                <c:pt idx="19">
                  <c:v>572</c:v>
                </c:pt>
                <c:pt idx="21">
                  <c:v>770</c:v>
                </c:pt>
                <c:pt idx="22">
                  <c:v>1133</c:v>
                </c:pt>
                <c:pt idx="23">
                  <c:v>475</c:v>
                </c:pt>
                <c:pt idx="24">
                  <c:v>182</c:v>
                </c:pt>
                <c:pt idx="25">
                  <c:v>725</c:v>
                </c:pt>
                <c:pt idx="26">
                  <c:v>160</c:v>
                </c:pt>
                <c:pt idx="27">
                  <c:v>2365</c:v>
                </c:pt>
                <c:pt idx="28">
                  <c:v>7051</c:v>
                </c:pt>
                <c:pt idx="29">
                  <c:v>11765</c:v>
                </c:pt>
                <c:pt idx="30">
                  <c:v>11052</c:v>
                </c:pt>
                <c:pt idx="31">
                  <c:v>10671</c:v>
                </c:pt>
                <c:pt idx="32">
                  <c:v>12988</c:v>
                </c:pt>
                <c:pt idx="33">
                  <c:v>21992</c:v>
                </c:pt>
                <c:pt idx="34">
                  <c:v>27507</c:v>
                </c:pt>
                <c:pt idx="35">
                  <c:v>12541</c:v>
                </c:pt>
                <c:pt idx="36">
                  <c:v>28670</c:v>
                </c:pt>
                <c:pt idx="37">
                  <c:v>88328</c:v>
                </c:pt>
                <c:pt idx="38">
                  <c:v>68948</c:v>
                </c:pt>
                <c:pt idx="39">
                  <c:v>48634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1-45A6-BAF9-EF1C949B4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1867359"/>
        <c:axId val="1611868799"/>
      </c:barChart>
      <c:catAx>
        <c:axId val="1611867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868799"/>
        <c:crosses val="autoZero"/>
        <c:auto val="1"/>
        <c:lblAlgn val="ctr"/>
        <c:lblOffset val="100"/>
        <c:noMultiLvlLbl val="1"/>
      </c:catAx>
      <c:valAx>
        <c:axId val="16118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86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302559</xdr:colOff>
      <xdr:row>1</xdr:row>
      <xdr:rowOff>107673</xdr:rowOff>
    </xdr:from>
    <xdr:to>
      <xdr:col>41</xdr:col>
      <xdr:colOff>554182</xdr:colOff>
      <xdr:row>35</xdr:row>
      <xdr:rowOff>160111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6ED139-6D1F-18A6-1AC4-40FEB5850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6FBA-AFBB-40D0-BDBC-F24B18AFC7B9}">
  <sheetPr codeName="Sheet1"/>
  <dimension ref="A1:AD41"/>
  <sheetViews>
    <sheetView tabSelected="1" zoomScale="85" zoomScaleNormal="85" workbookViewId="0">
      <pane ySplit="1" topLeftCell="A14" activePane="bottomLeft" state="frozen"/>
      <selection pane="bottomLeft" activeCell="F51" sqref="F51"/>
    </sheetView>
  </sheetViews>
  <sheetFormatPr defaultRowHeight="14.5" x14ac:dyDescent="0.35"/>
  <cols>
    <col min="1" max="1" width="13.1796875" customWidth="1"/>
    <col min="2" max="2" width="11" style="4" bestFit="1" customWidth="1"/>
    <col min="3" max="3" width="9.7265625" bestFit="1" customWidth="1"/>
    <col min="4" max="4" width="11.7265625" bestFit="1" customWidth="1"/>
    <col min="5" max="5" width="12.1796875" bestFit="1" customWidth="1"/>
    <col min="6" max="6" width="12.1796875" customWidth="1"/>
    <col min="7" max="7" width="22" bestFit="1" customWidth="1"/>
    <col min="8" max="8" width="21.1796875" bestFit="1" customWidth="1"/>
    <col min="9" max="9" width="17.54296875" bestFit="1" customWidth="1"/>
    <col min="10" max="12" width="17.54296875" customWidth="1"/>
    <col min="13" max="13" width="12.81640625" bestFit="1" customWidth="1"/>
    <col min="15" max="15" width="6.453125" bestFit="1" customWidth="1"/>
    <col min="16" max="16" width="6.81640625" bestFit="1" customWidth="1"/>
    <col min="18" max="18" width="14.453125" bestFit="1" customWidth="1"/>
    <col min="19" max="19" width="7.81640625" bestFit="1" customWidth="1"/>
    <col min="21" max="21" width="2.7265625" bestFit="1" customWidth="1"/>
    <col min="22" max="22" width="8.81640625" bestFit="1" customWidth="1"/>
    <col min="23" max="23" width="5.81640625" bestFit="1" customWidth="1"/>
    <col min="24" max="24" width="10.54296875" bestFit="1" customWidth="1"/>
    <col min="26" max="26" width="11" bestFit="1" customWidth="1"/>
    <col min="27" max="27" width="8.81640625" bestFit="1" customWidth="1"/>
    <col min="30" max="31" width="8.81640625" bestFit="1" customWidth="1"/>
    <col min="32" max="32" width="3.26953125" bestFit="1" customWidth="1"/>
  </cols>
  <sheetData>
    <row r="1" spans="1:30" x14ac:dyDescent="0.35">
      <c r="C1" t="s">
        <v>0</v>
      </c>
      <c r="D1" t="s">
        <v>1</v>
      </c>
      <c r="E1" t="s">
        <v>2</v>
      </c>
      <c r="F1" t="s">
        <v>41</v>
      </c>
      <c r="G1" t="s">
        <v>3</v>
      </c>
      <c r="H1" t="s">
        <v>4</v>
      </c>
      <c r="I1" t="s">
        <v>5</v>
      </c>
      <c r="J1" t="s">
        <v>37</v>
      </c>
      <c r="K1" t="s">
        <v>43</v>
      </c>
      <c r="L1" t="s">
        <v>45</v>
      </c>
      <c r="M1" t="s">
        <v>6</v>
      </c>
    </row>
    <row r="2" spans="1:30" x14ac:dyDescent="0.35">
      <c r="A2" s="6">
        <v>42370</v>
      </c>
      <c r="B2" s="4" t="s">
        <v>7</v>
      </c>
      <c r="C2" s="5">
        <v>4696</v>
      </c>
      <c r="D2" s="5">
        <v>89456</v>
      </c>
      <c r="E2" s="5"/>
      <c r="F2" s="5"/>
      <c r="G2" s="5">
        <v>181740</v>
      </c>
      <c r="H2" s="5"/>
      <c r="I2" s="5">
        <v>1030504</v>
      </c>
      <c r="J2" s="5">
        <v>113</v>
      </c>
      <c r="K2" s="5"/>
      <c r="L2" s="5"/>
      <c r="M2" s="5">
        <f t="shared" ref="M2:M34" si="0">SUM(C2:K2)</f>
        <v>1306509</v>
      </c>
    </row>
    <row r="3" spans="1:30" x14ac:dyDescent="0.35">
      <c r="A3" s="6">
        <v>42461</v>
      </c>
      <c r="B3" s="4" t="s">
        <v>8</v>
      </c>
      <c r="C3" s="5">
        <v>9046</v>
      </c>
      <c r="D3" s="5">
        <v>125939</v>
      </c>
      <c r="E3" s="5"/>
      <c r="F3" s="5"/>
      <c r="G3" s="5">
        <v>172571</v>
      </c>
      <c r="H3" s="5">
        <v>1740</v>
      </c>
      <c r="I3" s="5">
        <v>999009</v>
      </c>
      <c r="J3" s="5">
        <v>113</v>
      </c>
      <c r="K3" s="5"/>
      <c r="L3" s="5"/>
      <c r="M3" s="5">
        <f t="shared" si="0"/>
        <v>1308418</v>
      </c>
    </row>
    <row r="4" spans="1:30" x14ac:dyDescent="0.35">
      <c r="A4" s="6">
        <v>42552</v>
      </c>
      <c r="B4" s="4" t="s">
        <v>9</v>
      </c>
      <c r="C4" s="5">
        <v>20938</v>
      </c>
      <c r="D4" s="5">
        <v>140425</v>
      </c>
      <c r="E4" s="5"/>
      <c r="F4" s="5"/>
      <c r="G4" s="5">
        <v>171746</v>
      </c>
      <c r="H4" s="5"/>
      <c r="I4" s="5">
        <v>926283</v>
      </c>
      <c r="J4" s="5">
        <v>113</v>
      </c>
      <c r="K4" s="5"/>
      <c r="L4" s="5"/>
      <c r="M4" s="5">
        <f t="shared" si="0"/>
        <v>1259505</v>
      </c>
    </row>
    <row r="5" spans="1:30" x14ac:dyDescent="0.35">
      <c r="A5" s="6">
        <v>42644</v>
      </c>
      <c r="B5" s="4" t="s">
        <v>10</v>
      </c>
      <c r="C5" s="5">
        <v>32466</v>
      </c>
      <c r="D5" s="5">
        <v>11768</v>
      </c>
      <c r="E5" s="5"/>
      <c r="F5" s="5"/>
      <c r="G5" s="5">
        <v>143698</v>
      </c>
      <c r="H5" s="5"/>
      <c r="I5" s="5">
        <v>827290</v>
      </c>
      <c r="J5" s="5">
        <v>113</v>
      </c>
      <c r="K5" s="5"/>
      <c r="L5" s="5"/>
      <c r="M5" s="5">
        <f t="shared" si="0"/>
        <v>1015335</v>
      </c>
    </row>
    <row r="6" spans="1:30" x14ac:dyDescent="0.35">
      <c r="A6" s="6">
        <v>42736</v>
      </c>
      <c r="B6" s="4" t="s">
        <v>11</v>
      </c>
      <c r="C6" s="5">
        <v>6518</v>
      </c>
      <c r="D6" s="5">
        <v>142726</v>
      </c>
      <c r="E6" s="5"/>
      <c r="F6" s="5"/>
      <c r="G6" s="5">
        <v>191451</v>
      </c>
      <c r="H6" s="5"/>
      <c r="I6" s="5">
        <v>888588</v>
      </c>
      <c r="J6" s="5">
        <v>188</v>
      </c>
      <c r="K6" s="5"/>
      <c r="L6" s="5"/>
      <c r="M6" s="5">
        <f t="shared" si="0"/>
        <v>1229471</v>
      </c>
    </row>
    <row r="7" spans="1:30" x14ac:dyDescent="0.35">
      <c r="A7" s="6">
        <v>42826</v>
      </c>
      <c r="B7" s="4" t="s">
        <v>12</v>
      </c>
      <c r="C7" s="5">
        <v>30030</v>
      </c>
      <c r="D7" s="5">
        <v>150009</v>
      </c>
      <c r="E7" s="5"/>
      <c r="F7" s="5"/>
      <c r="G7" s="5">
        <v>160892</v>
      </c>
      <c r="H7" s="5"/>
      <c r="I7" s="5">
        <v>936341</v>
      </c>
      <c r="J7" s="5">
        <v>188</v>
      </c>
      <c r="K7" s="5"/>
      <c r="L7" s="5"/>
      <c r="M7" s="5">
        <f t="shared" si="0"/>
        <v>1277460</v>
      </c>
    </row>
    <row r="8" spans="1:30" x14ac:dyDescent="0.35">
      <c r="A8" s="6">
        <v>42917</v>
      </c>
      <c r="B8" s="4" t="s">
        <v>13</v>
      </c>
      <c r="C8" s="5">
        <v>12070</v>
      </c>
      <c r="D8" s="5">
        <v>156041</v>
      </c>
      <c r="E8" s="5"/>
      <c r="F8" s="5"/>
      <c r="G8" s="5">
        <v>148268</v>
      </c>
      <c r="H8" s="5"/>
      <c r="I8" s="5">
        <v>953045</v>
      </c>
      <c r="J8" s="5">
        <v>188</v>
      </c>
      <c r="K8" s="5"/>
      <c r="L8" s="5"/>
      <c r="M8" s="5">
        <f t="shared" si="0"/>
        <v>1269612</v>
      </c>
      <c r="AD8" s="1"/>
    </row>
    <row r="9" spans="1:30" x14ac:dyDescent="0.35">
      <c r="A9" s="6">
        <v>43009</v>
      </c>
      <c r="B9" s="4" t="s">
        <v>14</v>
      </c>
      <c r="C9" s="5">
        <v>80247</v>
      </c>
      <c r="D9" s="5">
        <v>208219</v>
      </c>
      <c r="E9" s="5"/>
      <c r="F9" s="5"/>
      <c r="G9" s="5">
        <v>126675</v>
      </c>
      <c r="H9" s="5"/>
      <c r="I9" s="5">
        <v>857007</v>
      </c>
      <c r="J9" s="5">
        <v>188</v>
      </c>
      <c r="K9" s="5"/>
      <c r="L9" s="5"/>
      <c r="M9" s="5">
        <f t="shared" si="0"/>
        <v>1272336</v>
      </c>
    </row>
    <row r="10" spans="1:30" x14ac:dyDescent="0.35">
      <c r="A10" s="6">
        <v>43101</v>
      </c>
      <c r="B10" s="4" t="s">
        <v>15</v>
      </c>
      <c r="C10" s="5">
        <v>78831</v>
      </c>
      <c r="D10" s="5">
        <v>183679</v>
      </c>
      <c r="E10" s="5"/>
      <c r="F10" s="5"/>
      <c r="G10" s="5">
        <v>143082</v>
      </c>
      <c r="H10" s="5"/>
      <c r="I10" s="5">
        <v>913542</v>
      </c>
      <c r="J10" s="5">
        <v>187</v>
      </c>
      <c r="K10" s="5"/>
      <c r="L10" s="5"/>
      <c r="M10" s="5">
        <f t="shared" si="0"/>
        <v>1319321</v>
      </c>
    </row>
    <row r="11" spans="1:30" x14ac:dyDescent="0.35">
      <c r="A11" s="6">
        <v>43191</v>
      </c>
      <c r="B11" s="4" t="s">
        <v>16</v>
      </c>
      <c r="C11" s="5">
        <v>29379</v>
      </c>
      <c r="D11" s="5">
        <v>167519</v>
      </c>
      <c r="E11" s="5"/>
      <c r="F11" s="5"/>
      <c r="G11" s="5">
        <v>150502</v>
      </c>
      <c r="H11" s="5">
        <v>3773</v>
      </c>
      <c r="I11" s="5">
        <v>926683</v>
      </c>
      <c r="J11" s="5">
        <v>187</v>
      </c>
      <c r="K11" s="5"/>
      <c r="L11" s="5"/>
      <c r="M11" s="5">
        <f t="shared" si="0"/>
        <v>1278043</v>
      </c>
    </row>
    <row r="12" spans="1:30" x14ac:dyDescent="0.35">
      <c r="A12" s="6">
        <v>43282</v>
      </c>
      <c r="B12" s="4" t="s">
        <v>17</v>
      </c>
      <c r="C12" s="5">
        <v>61171</v>
      </c>
      <c r="D12" s="5">
        <v>343274</v>
      </c>
      <c r="E12" s="5"/>
      <c r="F12" s="5"/>
      <c r="G12" s="5">
        <v>122054</v>
      </c>
      <c r="H12" s="5">
        <v>3705</v>
      </c>
      <c r="I12" s="5">
        <v>968677</v>
      </c>
      <c r="J12" s="5">
        <v>187</v>
      </c>
      <c r="K12" s="5"/>
      <c r="L12" s="5"/>
      <c r="M12" s="5">
        <f t="shared" si="0"/>
        <v>1499068</v>
      </c>
    </row>
    <row r="13" spans="1:30" x14ac:dyDescent="0.35">
      <c r="A13" s="6">
        <v>43374</v>
      </c>
      <c r="B13" s="4" t="s">
        <v>18</v>
      </c>
      <c r="C13" s="5">
        <v>30958</v>
      </c>
      <c r="D13" s="5">
        <v>181195</v>
      </c>
      <c r="E13" s="5"/>
      <c r="F13" s="5"/>
      <c r="G13" s="5">
        <v>244660</v>
      </c>
      <c r="H13" s="5">
        <v>2100</v>
      </c>
      <c r="I13" s="5">
        <v>1078094</v>
      </c>
      <c r="J13" s="5">
        <v>187</v>
      </c>
      <c r="K13" s="5"/>
      <c r="L13" s="5"/>
      <c r="M13" s="5">
        <f t="shared" si="0"/>
        <v>1537194</v>
      </c>
    </row>
    <row r="14" spans="1:30" x14ac:dyDescent="0.35">
      <c r="A14" s="6">
        <v>43466</v>
      </c>
      <c r="B14" s="4" t="s">
        <v>19</v>
      </c>
      <c r="C14" s="5">
        <v>7395</v>
      </c>
      <c r="D14" s="5">
        <v>161826</v>
      </c>
      <c r="E14" s="5"/>
      <c r="F14" s="5"/>
      <c r="G14" s="5">
        <v>132293</v>
      </c>
      <c r="H14" s="5">
        <v>3399</v>
      </c>
      <c r="I14" s="5">
        <v>753792</v>
      </c>
      <c r="J14" s="5">
        <v>256</v>
      </c>
      <c r="K14" s="5"/>
      <c r="L14" s="5"/>
      <c r="M14" s="5">
        <f t="shared" si="0"/>
        <v>1058961</v>
      </c>
    </row>
    <row r="15" spans="1:30" x14ac:dyDescent="0.35">
      <c r="A15" s="6">
        <v>43556</v>
      </c>
      <c r="B15" s="4" t="s">
        <v>20</v>
      </c>
      <c r="C15" s="5">
        <v>5671</v>
      </c>
      <c r="D15" s="5">
        <v>245324</v>
      </c>
      <c r="E15" s="5"/>
      <c r="F15" s="5"/>
      <c r="G15" s="5">
        <v>201037</v>
      </c>
      <c r="H15" s="5">
        <v>28130</v>
      </c>
      <c r="I15" s="5">
        <v>1086425</v>
      </c>
      <c r="J15" s="5">
        <v>256</v>
      </c>
      <c r="K15" s="5"/>
      <c r="L15" s="5"/>
      <c r="M15" s="5">
        <f t="shared" si="0"/>
        <v>1566843</v>
      </c>
    </row>
    <row r="16" spans="1:30" x14ac:dyDescent="0.35">
      <c r="A16" s="6">
        <v>43647</v>
      </c>
      <c r="B16" s="4" t="s">
        <v>21</v>
      </c>
      <c r="C16" s="5">
        <v>5793</v>
      </c>
      <c r="D16" s="5">
        <v>276406</v>
      </c>
      <c r="E16" s="5">
        <v>180</v>
      </c>
      <c r="F16" s="5"/>
      <c r="G16" s="5">
        <v>205705</v>
      </c>
      <c r="H16" s="5">
        <v>13550</v>
      </c>
      <c r="I16" s="5">
        <v>1054691</v>
      </c>
      <c r="J16" s="5">
        <v>256</v>
      </c>
      <c r="K16" s="5"/>
      <c r="L16" s="5"/>
      <c r="M16" s="5">
        <f t="shared" si="0"/>
        <v>1556581</v>
      </c>
    </row>
    <row r="17" spans="1:30" x14ac:dyDescent="0.35">
      <c r="A17" s="6">
        <v>43739</v>
      </c>
      <c r="B17" s="4" t="s">
        <v>22</v>
      </c>
      <c r="C17" s="5">
        <v>14241</v>
      </c>
      <c r="D17" s="5">
        <v>412147</v>
      </c>
      <c r="E17" s="5">
        <v>320</v>
      </c>
      <c r="F17" s="5"/>
      <c r="G17" s="5">
        <v>137438</v>
      </c>
      <c r="H17" s="5">
        <v>326640</v>
      </c>
      <c r="I17" s="5">
        <v>554975</v>
      </c>
      <c r="J17" s="5">
        <v>256</v>
      </c>
      <c r="K17" s="5"/>
      <c r="L17" s="5"/>
      <c r="M17" s="5">
        <f t="shared" si="0"/>
        <v>1446017</v>
      </c>
    </row>
    <row r="18" spans="1:30" x14ac:dyDescent="0.35">
      <c r="A18" s="6">
        <v>43831</v>
      </c>
      <c r="B18" s="4" t="s">
        <v>23</v>
      </c>
      <c r="C18" s="5">
        <v>10157</v>
      </c>
      <c r="D18" s="5">
        <v>266393</v>
      </c>
      <c r="E18" s="5"/>
      <c r="F18" s="5"/>
      <c r="G18" s="5">
        <v>122617</v>
      </c>
      <c r="H18" s="5">
        <v>502337</v>
      </c>
      <c r="I18" s="5">
        <v>71681</v>
      </c>
      <c r="J18" s="5">
        <v>572</v>
      </c>
      <c r="K18" s="5"/>
      <c r="L18" s="5"/>
      <c r="M18" s="5">
        <f t="shared" si="0"/>
        <v>973757</v>
      </c>
    </row>
    <row r="19" spans="1:30" x14ac:dyDescent="0.35">
      <c r="A19" s="6">
        <v>43922</v>
      </c>
      <c r="B19" s="4" t="s">
        <v>24</v>
      </c>
      <c r="C19" s="5">
        <v>7137</v>
      </c>
      <c r="D19" s="5">
        <v>180041</v>
      </c>
      <c r="E19" s="5"/>
      <c r="F19" s="5"/>
      <c r="G19" s="5">
        <v>82118</v>
      </c>
      <c r="H19" s="5">
        <v>249480</v>
      </c>
      <c r="I19" s="5">
        <v>92288</v>
      </c>
      <c r="J19" s="5">
        <v>572</v>
      </c>
      <c r="K19" s="5"/>
      <c r="L19" s="5"/>
      <c r="M19" s="5">
        <f t="shared" si="0"/>
        <v>611636</v>
      </c>
    </row>
    <row r="20" spans="1:30" x14ac:dyDescent="0.35">
      <c r="A20" s="6">
        <v>44013</v>
      </c>
      <c r="B20" s="4" t="s">
        <v>25</v>
      </c>
      <c r="C20" s="5">
        <v>7996</v>
      </c>
      <c r="D20" s="5">
        <v>229415</v>
      </c>
      <c r="E20" s="5"/>
      <c r="F20" s="5"/>
      <c r="G20" s="5">
        <v>110252</v>
      </c>
      <c r="H20" s="5">
        <v>350632</v>
      </c>
      <c r="I20" s="5">
        <v>228598</v>
      </c>
      <c r="J20" s="5">
        <v>572</v>
      </c>
      <c r="K20" s="5"/>
      <c r="L20" s="5"/>
      <c r="M20" s="5">
        <f t="shared" si="0"/>
        <v>927465</v>
      </c>
    </row>
    <row r="21" spans="1:30" x14ac:dyDescent="0.35">
      <c r="A21" s="6">
        <v>44105</v>
      </c>
      <c r="B21" s="4" t="s">
        <v>26</v>
      </c>
      <c r="C21" s="5">
        <v>9003</v>
      </c>
      <c r="D21" s="5">
        <v>231843</v>
      </c>
      <c r="E21" s="5"/>
      <c r="F21" s="5"/>
      <c r="G21" s="5">
        <v>63412</v>
      </c>
      <c r="H21" s="5">
        <v>391315</v>
      </c>
      <c r="I21" s="5">
        <v>228152</v>
      </c>
      <c r="J21" s="5">
        <v>572</v>
      </c>
      <c r="K21" s="5"/>
      <c r="L21" s="5"/>
      <c r="M21" s="5">
        <f t="shared" si="0"/>
        <v>924297</v>
      </c>
    </row>
    <row r="22" spans="1:30" x14ac:dyDescent="0.35">
      <c r="A22" s="6">
        <v>44197</v>
      </c>
      <c r="B22" s="4" t="s">
        <v>27</v>
      </c>
      <c r="C22" s="5">
        <v>9113</v>
      </c>
      <c r="D22" s="5">
        <v>287678</v>
      </c>
      <c r="E22" s="5">
        <v>4103</v>
      </c>
      <c r="F22" s="5"/>
      <c r="G22" s="5">
        <v>73384</v>
      </c>
      <c r="H22" s="5">
        <v>828906</v>
      </c>
      <c r="I22" s="5">
        <v>286671</v>
      </c>
      <c r="M22" s="5">
        <f t="shared" si="0"/>
        <v>1489855</v>
      </c>
    </row>
    <row r="23" spans="1:30" x14ac:dyDescent="0.35">
      <c r="A23" s="6">
        <v>44287</v>
      </c>
      <c r="B23" s="4" t="s">
        <v>28</v>
      </c>
      <c r="C23" s="5">
        <v>6641</v>
      </c>
      <c r="D23" s="5">
        <v>84704</v>
      </c>
      <c r="E23" s="5"/>
      <c r="F23" s="5"/>
      <c r="G23" s="5">
        <v>148834</v>
      </c>
      <c r="H23" s="5">
        <v>504822</v>
      </c>
      <c r="I23" s="5">
        <v>221908</v>
      </c>
      <c r="J23" s="5">
        <v>770</v>
      </c>
      <c r="K23" s="5"/>
      <c r="L23" s="5"/>
      <c r="M23" s="5">
        <f t="shared" si="0"/>
        <v>967679</v>
      </c>
    </row>
    <row r="24" spans="1:30" x14ac:dyDescent="0.35">
      <c r="A24" s="6">
        <v>44378</v>
      </c>
      <c r="B24" s="4" t="s">
        <v>29</v>
      </c>
      <c r="C24" s="5">
        <v>6046</v>
      </c>
      <c r="D24" s="5">
        <v>44940</v>
      </c>
      <c r="E24" s="5"/>
      <c r="F24" s="5"/>
      <c r="G24" s="5">
        <v>224883</v>
      </c>
      <c r="H24" s="5">
        <v>470201</v>
      </c>
      <c r="I24" s="5">
        <v>180319</v>
      </c>
      <c r="J24" s="5">
        <v>1133</v>
      </c>
      <c r="K24" s="5"/>
      <c r="L24" s="5"/>
      <c r="M24" s="5">
        <f t="shared" si="0"/>
        <v>927522</v>
      </c>
      <c r="AD24" s="2"/>
    </row>
    <row r="25" spans="1:30" x14ac:dyDescent="0.35">
      <c r="A25" s="6">
        <v>44470</v>
      </c>
      <c r="B25" s="4" t="s">
        <v>30</v>
      </c>
      <c r="C25" s="5">
        <v>4528</v>
      </c>
      <c r="D25" s="5">
        <v>13511</v>
      </c>
      <c r="E25" s="5"/>
      <c r="F25" s="5"/>
      <c r="G25" s="5">
        <v>175066</v>
      </c>
      <c r="H25" s="5">
        <v>373795</v>
      </c>
      <c r="I25" s="5">
        <v>132399</v>
      </c>
      <c r="J25" s="5">
        <v>475</v>
      </c>
      <c r="K25" s="5"/>
      <c r="L25" s="5"/>
      <c r="M25" s="5">
        <f t="shared" si="0"/>
        <v>699774</v>
      </c>
    </row>
    <row r="26" spans="1:30" x14ac:dyDescent="0.35">
      <c r="A26" s="6">
        <v>44562</v>
      </c>
      <c r="B26" s="4" t="s">
        <v>31</v>
      </c>
      <c r="C26" s="5">
        <v>5779</v>
      </c>
      <c r="D26" s="5">
        <v>62378</v>
      </c>
      <c r="E26" s="5"/>
      <c r="F26" s="5">
        <v>307715</v>
      </c>
      <c r="G26" s="5">
        <v>88023</v>
      </c>
      <c r="H26" s="5">
        <v>329149</v>
      </c>
      <c r="I26" s="5">
        <v>111234</v>
      </c>
      <c r="J26" s="5">
        <v>182</v>
      </c>
      <c r="K26" s="5"/>
      <c r="L26" s="5"/>
      <c r="M26" s="5">
        <f t="shared" si="0"/>
        <v>904460</v>
      </c>
    </row>
    <row r="27" spans="1:30" x14ac:dyDescent="0.35">
      <c r="A27" s="6">
        <v>44652</v>
      </c>
      <c r="B27" s="4" t="s">
        <v>32</v>
      </c>
      <c r="C27" s="5">
        <v>6848</v>
      </c>
      <c r="D27" s="5">
        <v>61410</v>
      </c>
      <c r="E27" s="5"/>
      <c r="F27" s="5">
        <v>277537</v>
      </c>
      <c r="G27" s="5">
        <v>142884</v>
      </c>
      <c r="H27" s="5">
        <v>376076</v>
      </c>
      <c r="I27" s="5">
        <v>198523</v>
      </c>
      <c r="J27" s="5">
        <v>725</v>
      </c>
      <c r="K27" s="5"/>
      <c r="L27" s="5"/>
      <c r="M27" s="5">
        <f t="shared" si="0"/>
        <v>1064003</v>
      </c>
      <c r="P27" s="3"/>
    </row>
    <row r="28" spans="1:30" x14ac:dyDescent="0.35">
      <c r="A28" s="6">
        <v>44743</v>
      </c>
      <c r="B28" s="4" t="s">
        <v>33</v>
      </c>
      <c r="C28" s="5">
        <v>9887</v>
      </c>
      <c r="D28" s="5">
        <v>144823</v>
      </c>
      <c r="E28" s="5"/>
      <c r="F28" s="5">
        <v>302804</v>
      </c>
      <c r="G28" s="5">
        <v>239050</v>
      </c>
      <c r="H28" s="5">
        <v>775067</v>
      </c>
      <c r="I28" s="5">
        <v>135382</v>
      </c>
      <c r="J28" s="5">
        <v>160</v>
      </c>
      <c r="K28" s="5"/>
      <c r="L28" s="5"/>
      <c r="M28" s="5">
        <f t="shared" si="0"/>
        <v>1607173</v>
      </c>
    </row>
    <row r="29" spans="1:30" x14ac:dyDescent="0.35">
      <c r="A29" s="6">
        <v>44835</v>
      </c>
      <c r="B29" s="4" t="s">
        <v>34</v>
      </c>
      <c r="C29" s="5">
        <v>4805</v>
      </c>
      <c r="D29" s="5">
        <v>152273</v>
      </c>
      <c r="E29" s="5"/>
      <c r="F29" s="5">
        <v>286720</v>
      </c>
      <c r="G29" s="5">
        <v>126723</v>
      </c>
      <c r="H29" s="5">
        <v>585019</v>
      </c>
      <c r="I29" s="5">
        <v>235956</v>
      </c>
      <c r="J29" s="5">
        <v>2365</v>
      </c>
      <c r="K29" s="5"/>
      <c r="L29" s="5"/>
      <c r="M29" s="5">
        <f t="shared" si="0"/>
        <v>1393861</v>
      </c>
      <c r="AD29" s="2"/>
    </row>
    <row r="30" spans="1:30" x14ac:dyDescent="0.35">
      <c r="A30" s="6">
        <v>44927</v>
      </c>
      <c r="B30" s="4" t="s">
        <v>35</v>
      </c>
      <c r="C30" s="5">
        <v>8079</v>
      </c>
      <c r="D30" s="5">
        <v>319926</v>
      </c>
      <c r="E30" s="5"/>
      <c r="F30" s="5">
        <v>284624</v>
      </c>
      <c r="G30" s="5">
        <v>94315</v>
      </c>
      <c r="H30" s="5">
        <v>739055</v>
      </c>
      <c r="I30" s="5">
        <v>395561</v>
      </c>
      <c r="J30" s="5">
        <v>7051</v>
      </c>
      <c r="K30" s="5"/>
      <c r="L30" s="5"/>
      <c r="M30" s="5">
        <f t="shared" si="0"/>
        <v>1848611</v>
      </c>
    </row>
    <row r="31" spans="1:30" x14ac:dyDescent="0.35">
      <c r="A31" s="6">
        <v>45017</v>
      </c>
      <c r="B31" s="4" t="s">
        <v>36</v>
      </c>
      <c r="C31" s="5">
        <v>9719</v>
      </c>
      <c r="D31" s="5">
        <v>286840</v>
      </c>
      <c r="F31" s="5">
        <v>254318</v>
      </c>
      <c r="G31" s="5">
        <v>113396</v>
      </c>
      <c r="H31" s="5">
        <v>608220</v>
      </c>
      <c r="I31" s="5">
        <v>531887</v>
      </c>
      <c r="J31" s="5">
        <v>11765</v>
      </c>
      <c r="K31" s="5">
        <v>475</v>
      </c>
      <c r="L31" s="5"/>
      <c r="M31" s="5">
        <f t="shared" si="0"/>
        <v>1816620</v>
      </c>
    </row>
    <row r="32" spans="1:30" x14ac:dyDescent="0.35">
      <c r="A32" s="6">
        <v>45108</v>
      </c>
      <c r="B32" s="4" t="s">
        <v>38</v>
      </c>
      <c r="C32" s="5">
        <v>9168</v>
      </c>
      <c r="D32" s="5">
        <v>312048</v>
      </c>
      <c r="F32" s="5">
        <v>254327</v>
      </c>
      <c r="G32" s="5">
        <v>109972</v>
      </c>
      <c r="H32" s="5">
        <v>609332</v>
      </c>
      <c r="I32" s="5">
        <v>533249</v>
      </c>
      <c r="J32" s="5">
        <v>11052</v>
      </c>
      <c r="K32" s="5"/>
      <c r="L32" s="5"/>
      <c r="M32" s="5">
        <f t="shared" si="0"/>
        <v>1839148</v>
      </c>
    </row>
    <row r="33" spans="1:13" x14ac:dyDescent="0.35">
      <c r="A33" s="6">
        <v>45200</v>
      </c>
      <c r="B33" s="4" t="s">
        <v>39</v>
      </c>
      <c r="C33" s="5">
        <v>8725</v>
      </c>
      <c r="D33" s="5">
        <v>289838</v>
      </c>
      <c r="F33" s="5">
        <v>211000</v>
      </c>
      <c r="G33" s="5">
        <v>120701</v>
      </c>
      <c r="H33" s="5">
        <v>608968</v>
      </c>
      <c r="I33" s="5">
        <v>428510</v>
      </c>
      <c r="J33" s="5">
        <v>10671</v>
      </c>
      <c r="K33" s="5"/>
      <c r="L33" s="5"/>
      <c r="M33" s="5">
        <f t="shared" si="0"/>
        <v>1678413</v>
      </c>
    </row>
    <row r="34" spans="1:13" x14ac:dyDescent="0.35">
      <c r="A34" s="6">
        <v>45292</v>
      </c>
      <c r="B34" s="4" t="s">
        <v>40</v>
      </c>
      <c r="C34" s="5">
        <v>7449</v>
      </c>
      <c r="D34" s="5">
        <v>416668</v>
      </c>
      <c r="F34" s="5">
        <v>234742</v>
      </c>
      <c r="G34" s="5">
        <v>110876</v>
      </c>
      <c r="H34" s="5">
        <v>699388</v>
      </c>
      <c r="I34" s="5">
        <v>460545</v>
      </c>
      <c r="J34" s="5">
        <v>12988</v>
      </c>
      <c r="K34" s="5"/>
      <c r="L34" s="5"/>
      <c r="M34" s="5">
        <f t="shared" si="0"/>
        <v>1942656</v>
      </c>
    </row>
    <row r="35" spans="1:13" x14ac:dyDescent="0.35">
      <c r="A35" s="6">
        <v>45383</v>
      </c>
      <c r="B35" s="4" t="s">
        <v>42</v>
      </c>
      <c r="C35" s="5">
        <v>9884</v>
      </c>
      <c r="D35" s="5">
        <v>318325</v>
      </c>
      <c r="F35" s="5">
        <v>264781</v>
      </c>
      <c r="G35" s="5">
        <v>104949</v>
      </c>
      <c r="H35" s="5">
        <v>664352</v>
      </c>
      <c r="I35" s="5">
        <v>419489</v>
      </c>
      <c r="J35" s="5">
        <v>21992</v>
      </c>
      <c r="K35" s="5">
        <v>4996</v>
      </c>
      <c r="L35" s="5"/>
      <c r="M35" s="5">
        <f>SUM(C35:K35)</f>
        <v>1808768</v>
      </c>
    </row>
    <row r="36" spans="1:13" x14ac:dyDescent="0.35">
      <c r="A36" s="6">
        <v>45474</v>
      </c>
      <c r="B36" s="4" t="s">
        <v>44</v>
      </c>
      <c r="C36" s="5">
        <v>8965</v>
      </c>
      <c r="D36" s="5">
        <v>330326</v>
      </c>
      <c r="F36" s="5">
        <v>265700</v>
      </c>
      <c r="G36" s="5">
        <v>91522</v>
      </c>
      <c r="H36" s="5">
        <v>739447</v>
      </c>
      <c r="I36" s="5">
        <v>416870</v>
      </c>
      <c r="J36" s="5">
        <v>27507</v>
      </c>
      <c r="K36" s="5">
        <v>6200</v>
      </c>
      <c r="L36" s="5">
        <v>17812</v>
      </c>
      <c r="M36" s="5">
        <f>SUM(C36:L36)</f>
        <v>1904349</v>
      </c>
    </row>
    <row r="37" spans="1:13" x14ac:dyDescent="0.35">
      <c r="A37" s="6">
        <v>45566</v>
      </c>
      <c r="B37" s="4" t="s">
        <v>46</v>
      </c>
      <c r="C37" s="5">
        <v>8303</v>
      </c>
      <c r="D37" s="5">
        <v>325692</v>
      </c>
      <c r="F37" s="5">
        <v>199101</v>
      </c>
      <c r="G37" s="5">
        <v>101058</v>
      </c>
      <c r="H37" s="5">
        <v>675792</v>
      </c>
      <c r="I37" s="5">
        <v>604450</v>
      </c>
      <c r="J37" s="5">
        <v>12541</v>
      </c>
      <c r="K37" s="5">
        <v>0</v>
      </c>
      <c r="L37" s="5">
        <v>17411</v>
      </c>
      <c r="M37" s="5">
        <f>SUM(C37:L37)</f>
        <v>1944348</v>
      </c>
    </row>
    <row r="38" spans="1:13" x14ac:dyDescent="0.35">
      <c r="A38" s="6">
        <v>45658</v>
      </c>
      <c r="B38" s="4" t="s">
        <v>47</v>
      </c>
      <c r="C38" s="5">
        <v>17320</v>
      </c>
      <c r="D38" s="5">
        <v>352867</v>
      </c>
      <c r="F38" s="5">
        <v>248703</v>
      </c>
      <c r="G38" s="5">
        <v>118447</v>
      </c>
      <c r="H38" s="5">
        <v>708410</v>
      </c>
      <c r="I38" s="5">
        <v>661352</v>
      </c>
      <c r="J38" s="5">
        <v>28670</v>
      </c>
      <c r="K38" s="5"/>
      <c r="L38" s="5">
        <v>41973</v>
      </c>
      <c r="M38" s="5">
        <f t="shared" ref="M38:M41" si="1">SUM(C38:L38)</f>
        <v>2177742</v>
      </c>
    </row>
    <row r="39" spans="1:13" x14ac:dyDescent="0.35">
      <c r="A39" s="6">
        <v>45748</v>
      </c>
      <c r="B39" s="4" t="s">
        <v>48</v>
      </c>
      <c r="C39" s="5">
        <v>7769</v>
      </c>
      <c r="D39" s="5">
        <v>434766</v>
      </c>
      <c r="F39" s="5">
        <v>232446</v>
      </c>
      <c r="G39" s="5">
        <v>114917</v>
      </c>
      <c r="H39" s="5">
        <v>476746</v>
      </c>
      <c r="I39" s="5">
        <v>590544</v>
      </c>
      <c r="J39" s="5">
        <v>88328</v>
      </c>
      <c r="K39" s="5"/>
      <c r="L39" s="5">
        <v>41939</v>
      </c>
      <c r="M39" s="5">
        <f t="shared" si="1"/>
        <v>1987455</v>
      </c>
    </row>
    <row r="40" spans="1:13" x14ac:dyDescent="0.35">
      <c r="A40" s="6">
        <v>45839</v>
      </c>
      <c r="B40" s="4" t="s">
        <v>49</v>
      </c>
      <c r="C40" s="5">
        <v>6513</v>
      </c>
      <c r="D40" s="5">
        <v>341255</v>
      </c>
      <c r="F40" s="5">
        <v>232709</v>
      </c>
      <c r="G40" s="5">
        <v>140128</v>
      </c>
      <c r="H40" s="5">
        <v>536870</v>
      </c>
      <c r="I40" s="5">
        <v>535883</v>
      </c>
      <c r="J40" s="5">
        <v>68948</v>
      </c>
      <c r="K40" s="5">
        <v>0</v>
      </c>
      <c r="L40" s="5">
        <v>55726</v>
      </c>
      <c r="M40" s="5">
        <f t="shared" si="1"/>
        <v>1918032</v>
      </c>
    </row>
    <row r="41" spans="1:13" x14ac:dyDescent="0.35">
      <c r="A41" s="6">
        <v>45931</v>
      </c>
      <c r="B41" s="4" t="s">
        <v>50</v>
      </c>
      <c r="C41" s="5">
        <v>6953</v>
      </c>
      <c r="D41" s="5">
        <v>345899</v>
      </c>
      <c r="F41" s="5">
        <v>228628</v>
      </c>
      <c r="G41" s="5">
        <v>124634</v>
      </c>
      <c r="H41" s="5">
        <v>521017</v>
      </c>
      <c r="I41" s="5">
        <v>524229</v>
      </c>
      <c r="J41" s="5">
        <v>48634</v>
      </c>
      <c r="K41" s="5">
        <v>0</v>
      </c>
      <c r="L41" s="5">
        <v>10959</v>
      </c>
      <c r="M41" s="5">
        <f t="shared" si="1"/>
        <v>1810953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Houghton</dc:creator>
  <cp:lastModifiedBy>Tom Houghton</cp:lastModifiedBy>
  <dcterms:created xsi:type="dcterms:W3CDTF">2023-04-19T07:01:25Z</dcterms:created>
  <dcterms:modified xsi:type="dcterms:W3CDTF">2026-02-13T08:26:09Z</dcterms:modified>
</cp:coreProperties>
</file>