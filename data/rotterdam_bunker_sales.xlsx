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DB6A5A51-63D7-49B0-8AB6-E1E0F07EF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6" i="1" l="1"/>
  <c r="Q39" i="1"/>
  <c r="S39" i="1" s="1"/>
  <c r="U39" i="1" s="1"/>
  <c r="Q38" i="1"/>
  <c r="R38" i="1" s="1"/>
  <c r="Q37" i="1"/>
  <c r="Q36" i="1"/>
  <c r="Q35" i="1"/>
  <c r="Q34" i="1"/>
  <c r="S34" i="1" s="1"/>
  <c r="Q33" i="1"/>
  <c r="R33" i="1" s="1"/>
  <c r="Q32" i="1"/>
  <c r="Q31" i="1"/>
  <c r="S31" i="1" s="1"/>
  <c r="U31" i="1" s="1"/>
  <c r="Q30" i="1"/>
  <c r="R30" i="1" s="1"/>
  <c r="Q29" i="1"/>
  <c r="Q28" i="1"/>
  <c r="Q27" i="1"/>
  <c r="S27" i="1" s="1"/>
  <c r="U27" i="1" s="1"/>
  <c r="Q26" i="1"/>
  <c r="R26" i="1" s="1"/>
  <c r="Q25" i="1"/>
  <c r="S25" i="1" s="1"/>
  <c r="U25" i="1" s="1"/>
  <c r="Q24" i="1"/>
  <c r="Q23" i="1"/>
  <c r="R23" i="1" s="1"/>
  <c r="Q22" i="1"/>
  <c r="R22" i="1" s="1"/>
  <c r="Q21" i="1"/>
  <c r="Q20" i="1"/>
  <c r="Q19" i="1"/>
  <c r="S19" i="1" s="1"/>
  <c r="U19" i="1" s="1"/>
  <c r="Q18" i="1"/>
  <c r="R18" i="1" s="1"/>
  <c r="Q17" i="1"/>
  <c r="R17" i="1" s="1"/>
  <c r="Q16" i="1"/>
  <c r="Q15" i="1"/>
  <c r="S15" i="1" s="1"/>
  <c r="U15" i="1" s="1"/>
  <c r="Q14" i="1"/>
  <c r="R14" i="1" s="1"/>
  <c r="Q13" i="1"/>
  <c r="Q12" i="1"/>
  <c r="Q11" i="1"/>
  <c r="S11" i="1" s="1"/>
  <c r="U11" i="1" s="1"/>
  <c r="Q10" i="1"/>
  <c r="R10" i="1" s="1"/>
  <c r="Q9" i="1"/>
  <c r="S9" i="1" s="1"/>
  <c r="U9" i="1" s="1"/>
  <c r="Q8" i="1"/>
  <c r="Q7" i="1"/>
  <c r="S7" i="1" s="1"/>
  <c r="U7" i="1" s="1"/>
  <c r="Q6" i="1"/>
  <c r="Q5" i="1"/>
  <c r="Q4" i="1"/>
  <c r="Q3" i="1"/>
  <c r="R3" i="1" s="1"/>
  <c r="Q2" i="1"/>
  <c r="R2" i="1" s="1"/>
  <c r="Q40" i="1"/>
  <c r="S40" i="1" s="1"/>
  <c r="U40" i="1" s="1"/>
  <c r="S3" i="1"/>
  <c r="U3" i="1" s="1"/>
  <c r="S4" i="1"/>
  <c r="U4" i="1" s="1"/>
  <c r="S5" i="1"/>
  <c r="U5" i="1" s="1"/>
  <c r="R5" i="1"/>
  <c r="R6" i="1"/>
  <c r="S8" i="1"/>
  <c r="U8" i="1" s="1"/>
  <c r="S12" i="1"/>
  <c r="U12" i="1" s="1"/>
  <c r="S13" i="1"/>
  <c r="U13" i="1" s="1"/>
  <c r="R13" i="1"/>
  <c r="S16" i="1"/>
  <c r="U16" i="1" s="1"/>
  <c r="R19" i="1"/>
  <c r="S20" i="1"/>
  <c r="U20" i="1" s="1"/>
  <c r="S21" i="1"/>
  <c r="U21" i="1" s="1"/>
  <c r="R21" i="1"/>
  <c r="S24" i="1"/>
  <c r="U24" i="1" s="1"/>
  <c r="R27" i="1"/>
  <c r="S28" i="1"/>
  <c r="U28" i="1" s="1"/>
  <c r="S29" i="1"/>
  <c r="U29" i="1" s="1"/>
  <c r="R29" i="1"/>
  <c r="S32" i="1"/>
  <c r="U32" i="1" s="1"/>
  <c r="S35" i="1"/>
  <c r="U35" i="1" s="1"/>
  <c r="R35" i="1"/>
  <c r="S36" i="1"/>
  <c r="U36" i="1" s="1"/>
  <c r="S37" i="1"/>
  <c r="U37" i="1" s="1"/>
  <c r="R37" i="1"/>
  <c r="R39" i="1"/>
  <c r="Q41" i="1"/>
  <c r="S41" i="1" s="1"/>
  <c r="U41" i="1" s="1"/>
  <c r="R41" i="1"/>
  <c r="Q42" i="1"/>
  <c r="R42" i="1" s="1"/>
  <c r="Q43" i="1"/>
  <c r="S43" i="1" s="1"/>
  <c r="U43" i="1" s="1"/>
  <c r="Q44" i="1"/>
  <c r="S44" i="1" s="1"/>
  <c r="U44" i="1" s="1"/>
  <c r="Q45" i="1"/>
  <c r="R45" i="1" s="1"/>
  <c r="N66" i="1"/>
  <c r="P66" i="1" s="1"/>
  <c r="M66" i="1"/>
  <c r="Q66" i="1"/>
  <c r="F66" i="1"/>
  <c r="N65" i="1"/>
  <c r="P65" i="1" s="1"/>
  <c r="M65" i="1"/>
  <c r="O65" i="1" s="1"/>
  <c r="Q65" i="1"/>
  <c r="F65" i="1"/>
  <c r="R34" i="1" l="1"/>
  <c r="R11" i="1"/>
  <c r="S45" i="1"/>
  <c r="U45" i="1" s="1"/>
  <c r="S33" i="1"/>
  <c r="U33" i="1" s="1"/>
  <c r="S17" i="1"/>
  <c r="U17" i="1" s="1"/>
  <c r="R43" i="1"/>
  <c r="R7" i="1"/>
  <c r="S23" i="1"/>
  <c r="U23" i="1" s="1"/>
  <c r="R31" i="1"/>
  <c r="R15" i="1"/>
  <c r="R25" i="1"/>
  <c r="R9" i="1"/>
  <c r="R44" i="1"/>
  <c r="R40" i="1"/>
  <c r="R36" i="1"/>
  <c r="R32" i="1"/>
  <c r="R28" i="1"/>
  <c r="R24" i="1"/>
  <c r="R20" i="1"/>
  <c r="R16" i="1"/>
  <c r="R12" i="1"/>
  <c r="R8" i="1"/>
  <c r="R4" i="1"/>
  <c r="S42" i="1"/>
  <c r="U42" i="1" s="1"/>
  <c r="S38" i="1"/>
  <c r="U38" i="1" s="1"/>
  <c r="U34" i="1"/>
  <c r="S30" i="1"/>
  <c r="U30" i="1" s="1"/>
  <c r="S26" i="1"/>
  <c r="U26" i="1" s="1"/>
  <c r="S22" i="1"/>
  <c r="U22" i="1" s="1"/>
  <c r="S18" i="1"/>
  <c r="U18" i="1" s="1"/>
  <c r="S14" i="1"/>
  <c r="U14" i="1" s="1"/>
  <c r="S10" i="1"/>
  <c r="U10" i="1" s="1"/>
  <c r="S6" i="1"/>
  <c r="U6" i="1" s="1"/>
  <c r="S2" i="1"/>
  <c r="U2" i="1" s="1"/>
  <c r="R66" i="1"/>
  <c r="S65" i="1"/>
  <c r="U65" i="1" s="1"/>
  <c r="S66" i="1"/>
  <c r="R65" i="1"/>
  <c r="O66" i="1"/>
  <c r="N64" i="1"/>
  <c r="P64" i="1" s="1"/>
  <c r="M64" i="1"/>
  <c r="Q64" i="1"/>
  <c r="S64" i="1" s="1"/>
  <c r="F64" i="1"/>
  <c r="N63" i="1"/>
  <c r="P63" i="1" s="1"/>
  <c r="M63" i="1"/>
  <c r="M62" i="1"/>
  <c r="O62" i="1" s="1"/>
  <c r="Q63" i="1"/>
  <c r="F63" i="1"/>
  <c r="Q62" i="1"/>
  <c r="N62" i="1"/>
  <c r="P62" i="1" s="1"/>
  <c r="M61" i="1"/>
  <c r="F62" i="1"/>
  <c r="Q61" i="1"/>
  <c r="R63" i="1" l="1"/>
  <c r="S63" i="1"/>
  <c r="U64" i="1"/>
  <c r="O63" i="1"/>
  <c r="O64" i="1"/>
  <c r="R64" i="1"/>
  <c r="U63" i="1"/>
  <c r="S62" i="1"/>
  <c r="U62" i="1" s="1"/>
  <c r="R62" i="1"/>
  <c r="N61" i="1"/>
  <c r="P61" i="1" s="1"/>
  <c r="F61" i="1"/>
  <c r="Q60" i="1"/>
  <c r="N60" i="1"/>
  <c r="P60" i="1" s="1"/>
  <c r="M60" i="1"/>
  <c r="F60" i="1"/>
  <c r="F59" i="1"/>
  <c r="N59" i="1"/>
  <c r="P59" i="1" s="1"/>
  <c r="M59" i="1"/>
  <c r="Q59" i="1"/>
  <c r="Q58" i="1"/>
  <c r="F46" i="1"/>
  <c r="F47" i="1"/>
  <c r="F48" i="1"/>
  <c r="F54" i="1"/>
  <c r="F55" i="1"/>
  <c r="F56" i="1"/>
  <c r="F57" i="1"/>
  <c r="F58" i="1"/>
  <c r="Q46" i="1"/>
  <c r="Q47" i="1"/>
  <c r="Q48" i="1"/>
  <c r="Q54" i="1"/>
  <c r="Q55" i="1"/>
  <c r="Q56" i="1"/>
  <c r="S56" i="1" s="1"/>
  <c r="U56" i="1" s="1"/>
  <c r="Q57" i="1"/>
  <c r="N58" i="1"/>
  <c r="P58" i="1" s="1"/>
  <c r="M58" i="1"/>
  <c r="N57" i="1"/>
  <c r="P57" i="1" s="1"/>
  <c r="M57" i="1"/>
  <c r="N53" i="1"/>
  <c r="N54" i="1"/>
  <c r="P56" i="1"/>
  <c r="O56" i="1"/>
  <c r="S59" i="1" l="1"/>
  <c r="U59" i="1" s="1"/>
  <c r="O58" i="1"/>
  <c r="O59" i="1"/>
  <c r="O60" i="1"/>
  <c r="S57" i="1"/>
  <c r="U57" i="1" s="1"/>
  <c r="R58" i="1"/>
  <c r="S58" i="1"/>
  <c r="U58" i="1" s="1"/>
  <c r="S60" i="1"/>
  <c r="U60" i="1" s="1"/>
  <c r="O61" i="1"/>
  <c r="S61" i="1"/>
  <c r="U61" i="1" s="1"/>
  <c r="R61" i="1"/>
  <c r="R57" i="1"/>
  <c r="R56" i="1"/>
  <c r="O57" i="1"/>
  <c r="R60" i="1"/>
  <c r="R59" i="1"/>
  <c r="N55" i="1"/>
  <c r="P55" i="1" s="1"/>
  <c r="M55" i="1"/>
  <c r="C53" i="1"/>
  <c r="M54" i="1"/>
  <c r="P54" i="1"/>
  <c r="M53" i="1"/>
  <c r="M52" i="1"/>
  <c r="M51" i="1"/>
  <c r="M50" i="1"/>
  <c r="P53" i="1"/>
  <c r="N46" i="1"/>
  <c r="P46" i="1" s="1"/>
  <c r="D52" i="1"/>
  <c r="N52" i="1"/>
  <c r="P52" i="1" s="1"/>
  <c r="N51" i="1"/>
  <c r="P51" i="1" s="1"/>
  <c r="D51" i="1"/>
  <c r="D50" i="1"/>
  <c r="N50" i="1"/>
  <c r="P50" i="1" s="1"/>
  <c r="N49" i="1"/>
  <c r="P49" i="1" s="1"/>
  <c r="M49" i="1"/>
  <c r="N48" i="1"/>
  <c r="P48" i="1" s="1"/>
  <c r="M48" i="1"/>
  <c r="N47" i="1"/>
  <c r="P47" i="1" s="1"/>
  <c r="M47" i="1"/>
  <c r="M46" i="1"/>
  <c r="J49" i="1"/>
  <c r="D49" i="1"/>
  <c r="O47" i="1" l="1"/>
  <c r="O48" i="1"/>
  <c r="S54" i="1"/>
  <c r="U54" i="1" s="1"/>
  <c r="O55" i="1"/>
  <c r="O46" i="1"/>
  <c r="S47" i="1"/>
  <c r="U47" i="1" s="1"/>
  <c r="S46" i="1"/>
  <c r="U46" i="1" s="1"/>
  <c r="S55" i="1"/>
  <c r="U55" i="1" s="1"/>
  <c r="S48" i="1"/>
  <c r="U48" i="1" s="1"/>
  <c r="O49" i="1"/>
  <c r="F53" i="1"/>
  <c r="Q53" i="1"/>
  <c r="S53" i="1" s="1"/>
  <c r="U53" i="1" s="1"/>
  <c r="Q49" i="1"/>
  <c r="S49" i="1" s="1"/>
  <c r="U49" i="1" s="1"/>
  <c r="F49" i="1"/>
  <c r="R55" i="1"/>
  <c r="Q50" i="1"/>
  <c r="S50" i="1" s="1"/>
  <c r="U50" i="1" s="1"/>
  <c r="F50" i="1"/>
  <c r="O51" i="1"/>
  <c r="F51" i="1"/>
  <c r="Q51" i="1"/>
  <c r="S51" i="1" s="1"/>
  <c r="U51" i="1" s="1"/>
  <c r="F52" i="1"/>
  <c r="Q52" i="1"/>
  <c r="S52" i="1" s="1"/>
  <c r="U52" i="1" s="1"/>
  <c r="O53" i="1"/>
  <c r="R54" i="1"/>
  <c r="R46" i="1"/>
  <c r="R48" i="1"/>
  <c r="R47" i="1"/>
  <c r="O50" i="1"/>
  <c r="O54" i="1"/>
  <c r="O52" i="1"/>
  <c r="R52" i="1" l="1"/>
  <c r="R53" i="1"/>
  <c r="R50" i="1"/>
  <c r="R49" i="1"/>
  <c r="R51" i="1"/>
</calcChain>
</file>

<file path=xl/sharedStrings.xml><?xml version="1.0" encoding="utf-8"?>
<sst xmlns="http://schemas.openxmlformats.org/spreadsheetml/2006/main" count="85" uniqueCount="84">
  <si>
    <t>Date</t>
  </si>
  <si>
    <t>Quarter</t>
  </si>
  <si>
    <t>LNG</t>
  </si>
  <si>
    <t>Lubes</t>
  </si>
  <si>
    <t>Bio share in FO</t>
  </si>
  <si>
    <t>Bio share in Dis</t>
  </si>
  <si>
    <t>ULSFO</t>
  </si>
  <si>
    <t>VLSFO</t>
  </si>
  <si>
    <t>HSFO</t>
  </si>
  <si>
    <t>Fuel oil</t>
  </si>
  <si>
    <t>MGO</t>
  </si>
  <si>
    <t>MDO</t>
  </si>
  <si>
    <t>Methanol</t>
  </si>
  <si>
    <t>Bio-fuel oil</t>
  </si>
  <si>
    <t>Bio-distillate bunkers</t>
  </si>
  <si>
    <t>Bio+FO</t>
  </si>
  <si>
    <t>All bunkers</t>
  </si>
  <si>
    <t>Caustic soda</t>
  </si>
  <si>
    <t>Q2 2025</t>
  </si>
  <si>
    <t>Q1 2025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</si>
  <si>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</si>
  <si>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</si>
  <si>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</si>
  <si>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</si>
  <si>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</si>
  <si>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</si>
  <si>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</si>
  <si>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</si>
  <si>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</si>
  <si>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</si>
  <si>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</si>
  <si>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</si>
  <si>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</si>
  <si>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</si>
  <si>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</si>
  <si>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</si>
  <si>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</si>
  <si>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</si>
  <si>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</si>
  <si>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</si>
  <si>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</si>
  <si>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</si>
  <si>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</si>
  <si>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</si>
  <si>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</si>
  <si>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</si>
  <si>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</si>
  <si>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</si>
  <si>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</si>
  <si>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</si>
  <si>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</si>
  <si>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</si>
  <si>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Q3 2025</t>
  </si>
  <si>
    <t>Alternative fuels</t>
  </si>
  <si>
    <t>Q4 2025</t>
  </si>
  <si>
    <t>Q1 2026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</si>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</sst>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164" fontId="0" fillId="0" borderId="0" xfId="1" applyNumberFormat="1" applyFont="1"/>
    <xf numFmtId="0" fontId="2" fillId="0" borderId="0" xfId="0" applyFont="1"/>
    <xf numFmtId="165" fontId="0" fillId="0" borderId="0" xfId="2" applyNumberFormat="1" applyFont="1"/>
    <xf numFmtId="10" fontId="0" fillId="0" borderId="0" xfId="2" applyNumberFormat="1" applyFont="1"/>
    <xf numFmtId="164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119"/>
  <sheetViews>
    <sheetView tabSelected="1" zoomScale="85" zoomScaleNormal="85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X63" sqref="X63"/>
    </sheetView>
  </sheetViews>
  <sheetFormatPr defaultRowHeight="15" x14ac:dyDescent="0.25"/>
  <cols>
    <col min="1" max="1" width="7.85546875" bestFit="1" customWidth="1"/>
    <col min="2" max="2" width="9.85546875" bestFit="1" customWidth="1"/>
    <col min="3" max="3" width="11.5703125" bestFit="1" customWidth="1"/>
    <col min="4" max="4" width="12.28515625" bestFit="1" customWidth="1"/>
    <col min="5" max="5" width="11.5703125" bestFit="1" customWidth="1"/>
    <col min="6" max="6" width="12.5703125" bestFit="1" customWidth="1"/>
    <col min="7" max="7" width="11.140625" bestFit="1" customWidth="1"/>
    <col min="8" max="8" width="10.85546875" bestFit="1" customWidth="1"/>
    <col min="9" max="10" width="11.5703125" bestFit="1" customWidth="1"/>
    <col min="11" max="11" width="10.5703125" bestFit="1" customWidth="1"/>
    <col min="12" max="12" width="15.85546875" bestFit="1" customWidth="1"/>
    <col min="13" max="13" width="13.5703125" bestFit="1" customWidth="1"/>
    <col min="14" max="14" width="25.140625" bestFit="1" customWidth="1"/>
    <col min="15" max="15" width="18.28515625" bestFit="1" customWidth="1"/>
    <col min="16" max="16" width="18.42578125" bestFit="1" customWidth="1"/>
    <col min="17" max="18" width="12.5703125" bestFit="1" customWidth="1"/>
    <col min="19" max="19" width="13.5703125" bestFit="1" customWidth="1"/>
  </cols>
  <sheetData>
    <row r="1" spans="1:21" s="3" customFormat="1" x14ac:dyDescent="0.25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2</v>
      </c>
      <c r="K1" s="3" t="s">
        <v>3</v>
      </c>
      <c r="L1" s="3" t="s">
        <v>17</v>
      </c>
      <c r="M1" s="3" t="s">
        <v>13</v>
      </c>
      <c r="N1" s="3" t="s">
        <v>14</v>
      </c>
      <c r="O1" s="3" t="s">
        <v>4</v>
      </c>
      <c r="P1" s="3" t="s">
        <v>5</v>
      </c>
      <c r="Q1" s="3" t="s">
        <v>9</v>
      </c>
      <c r="R1" s="3" t="s">
        <v>15</v>
      </c>
      <c r="S1" s="3" t="s">
        <v>16</v>
      </c>
      <c r="U1" s="3" t="s">
        <v>53</v>
      </c>
    </row>
    <row r="2" spans="1:21" s="3" customFormat="1" x14ac:dyDescent="0.25">
      <c r="A2" s="1">
        <v>40179</v>
      </c>
      <c r="B2" t="s">
        <v>56</v>
      </c>
      <c r="C2" s="2"/>
      <c r="D2" s="2"/>
      <c r="E2" s="2">
        <v>2802604</v>
      </c>
      <c r="G2" s="2">
        <v>116096</v>
      </c>
      <c r="H2" s="2">
        <v>2180</v>
      </c>
      <c r="I2"/>
      <c r="J2" s="2"/>
      <c r="K2" s="2">
        <v>26044</v>
      </c>
      <c r="O2" s="5"/>
      <c r="P2" s="4"/>
      <c r="Q2" s="2">
        <f t="shared" ref="Q2:Q40" si="0">E2</f>
        <v>2802604</v>
      </c>
      <c r="R2" s="6">
        <f t="shared" ref="R2:R45" si="1">SUM(M2:N2,Q2)</f>
        <v>2802604</v>
      </c>
      <c r="S2" s="2">
        <f t="shared" ref="S2:S45" si="2">SUM(I2:K2,Q2,M2:N2)</f>
        <v>2828648</v>
      </c>
      <c r="T2"/>
      <c r="U2" s="7">
        <f t="shared" ref="U2:U45" si="3">SUM(I2,J2,M2,N2)/S2</f>
        <v>0</v>
      </c>
    </row>
    <row r="3" spans="1:21" s="3" customFormat="1" x14ac:dyDescent="0.25">
      <c r="A3" s="1">
        <v>40269</v>
      </c>
      <c r="B3" t="s">
        <v>57</v>
      </c>
      <c r="C3" s="2"/>
      <c r="D3" s="2"/>
      <c r="E3" s="2">
        <v>2803598</v>
      </c>
      <c r="G3" s="2">
        <v>115291</v>
      </c>
      <c r="H3" s="2">
        <v>803</v>
      </c>
      <c r="I3"/>
      <c r="J3" s="2"/>
      <c r="K3" s="2">
        <v>31746</v>
      </c>
      <c r="O3" s="5"/>
      <c r="P3" s="4"/>
      <c r="Q3" s="2">
        <f t="shared" si="0"/>
        <v>2803598</v>
      </c>
      <c r="R3" s="6">
        <f t="shared" si="1"/>
        <v>2803598</v>
      </c>
      <c r="S3" s="2">
        <f t="shared" si="2"/>
        <v>2835344</v>
      </c>
      <c r="T3"/>
      <c r="U3" s="7">
        <f t="shared" si="3"/>
        <v>0</v>
      </c>
    </row>
    <row r="4" spans="1:21" s="3" customFormat="1" x14ac:dyDescent="0.25">
      <c r="A4" s="1">
        <v>40360</v>
      </c>
      <c r="B4" t="s">
        <v>58</v>
      </c>
      <c r="C4" s="2"/>
      <c r="D4" s="2"/>
      <c r="E4" s="2">
        <v>2979048</v>
      </c>
      <c r="G4" s="2">
        <v>112057</v>
      </c>
      <c r="H4" s="2">
        <v>2041</v>
      </c>
      <c r="I4"/>
      <c r="J4" s="2"/>
      <c r="K4" s="2">
        <v>27688</v>
      </c>
      <c r="O4" s="5"/>
      <c r="P4" s="4"/>
      <c r="Q4" s="2">
        <f t="shared" si="0"/>
        <v>2979048</v>
      </c>
      <c r="R4" s="6">
        <f t="shared" si="1"/>
        <v>2979048</v>
      </c>
      <c r="S4" s="2">
        <f t="shared" si="2"/>
        <v>3006736</v>
      </c>
      <c r="T4"/>
      <c r="U4" s="7">
        <f t="shared" si="3"/>
        <v>0</v>
      </c>
    </row>
    <row r="5" spans="1:21" s="3" customFormat="1" x14ac:dyDescent="0.25">
      <c r="A5" s="1">
        <v>40452</v>
      </c>
      <c r="B5" t="s">
        <v>59</v>
      </c>
      <c r="C5" s="2"/>
      <c r="D5" s="2"/>
      <c r="E5" s="2">
        <v>2672097</v>
      </c>
      <c r="G5" s="2">
        <v>119421</v>
      </c>
      <c r="H5" s="2">
        <v>413</v>
      </c>
      <c r="I5"/>
      <c r="J5" s="2"/>
      <c r="K5" s="2">
        <v>26694</v>
      </c>
      <c r="O5" s="5"/>
      <c r="P5" s="4"/>
      <c r="Q5" s="2">
        <f t="shared" si="0"/>
        <v>2672097</v>
      </c>
      <c r="R5" s="6">
        <f t="shared" si="1"/>
        <v>2672097</v>
      </c>
      <c r="S5" s="2">
        <f t="shared" si="2"/>
        <v>2698791</v>
      </c>
      <c r="T5"/>
      <c r="U5" s="7">
        <f t="shared" si="3"/>
        <v>0</v>
      </c>
    </row>
    <row r="6" spans="1:21" s="3" customFormat="1" x14ac:dyDescent="0.25">
      <c r="A6" s="1">
        <v>40544</v>
      </c>
      <c r="B6" t="s">
        <v>60</v>
      </c>
      <c r="C6" s="2"/>
      <c r="D6" s="2"/>
      <c r="E6" s="2">
        <v>2814333</v>
      </c>
      <c r="G6" s="2">
        <v>128707</v>
      </c>
      <c r="H6" s="2">
        <v>3923</v>
      </c>
      <c r="I6"/>
      <c r="J6" s="2"/>
      <c r="K6" s="2">
        <v>32149</v>
      </c>
      <c r="O6" s="5"/>
      <c r="P6" s="4"/>
      <c r="Q6" s="2">
        <f t="shared" si="0"/>
        <v>2814333</v>
      </c>
      <c r="R6" s="6">
        <f t="shared" si="1"/>
        <v>2814333</v>
      </c>
      <c r="S6" s="2">
        <f t="shared" si="2"/>
        <v>2846482</v>
      </c>
      <c r="T6"/>
      <c r="U6" s="7">
        <f t="shared" si="3"/>
        <v>0</v>
      </c>
    </row>
    <row r="7" spans="1:21" s="3" customFormat="1" x14ac:dyDescent="0.25">
      <c r="A7" s="1">
        <v>40634</v>
      </c>
      <c r="B7" t="s">
        <v>61</v>
      </c>
      <c r="C7" s="2"/>
      <c r="D7" s="2"/>
      <c r="E7" s="2">
        <v>2981171</v>
      </c>
      <c r="G7" s="2">
        <v>119269</v>
      </c>
      <c r="H7" s="2">
        <v>1123</v>
      </c>
      <c r="I7"/>
      <c r="J7" s="2"/>
      <c r="K7" s="2">
        <v>30612</v>
      </c>
      <c r="O7" s="5"/>
      <c r="P7" s="4"/>
      <c r="Q7" s="2">
        <f t="shared" si="0"/>
        <v>2981171</v>
      </c>
      <c r="R7" s="6">
        <f t="shared" si="1"/>
        <v>2981171</v>
      </c>
      <c r="S7" s="2">
        <f t="shared" si="2"/>
        <v>3011783</v>
      </c>
      <c r="T7"/>
      <c r="U7" s="7">
        <f t="shared" si="3"/>
        <v>0</v>
      </c>
    </row>
    <row r="8" spans="1:21" s="3" customFormat="1" x14ac:dyDescent="0.25">
      <c r="A8" s="1">
        <v>40725</v>
      </c>
      <c r="B8" t="s">
        <v>62</v>
      </c>
      <c r="C8" s="2"/>
      <c r="D8" s="2"/>
      <c r="E8" s="2">
        <v>2998896</v>
      </c>
      <c r="G8" s="2">
        <v>113438</v>
      </c>
      <c r="H8" s="2">
        <v>1203</v>
      </c>
      <c r="I8"/>
      <c r="J8" s="2"/>
      <c r="K8" s="2">
        <v>25754</v>
      </c>
      <c r="O8" s="5"/>
      <c r="P8" s="4"/>
      <c r="Q8" s="2">
        <f t="shared" si="0"/>
        <v>2998896</v>
      </c>
      <c r="R8" s="6">
        <f t="shared" si="1"/>
        <v>2998896</v>
      </c>
      <c r="S8" s="2">
        <f t="shared" si="2"/>
        <v>3024650</v>
      </c>
      <c r="T8"/>
      <c r="U8" s="7">
        <f t="shared" si="3"/>
        <v>0</v>
      </c>
    </row>
    <row r="9" spans="1:21" s="3" customFormat="1" x14ac:dyDescent="0.25">
      <c r="A9" s="1">
        <v>40817</v>
      </c>
      <c r="B9" t="s">
        <v>63</v>
      </c>
      <c r="C9" s="2"/>
      <c r="D9" s="2"/>
      <c r="E9" s="2">
        <v>2783403</v>
      </c>
      <c r="G9" s="2">
        <v>108902</v>
      </c>
      <c r="H9" s="2">
        <v>226</v>
      </c>
      <c r="I9"/>
      <c r="J9" s="2"/>
      <c r="K9" s="2">
        <v>21848</v>
      </c>
      <c r="O9" s="5"/>
      <c r="P9" s="4"/>
      <c r="Q9" s="2">
        <f t="shared" si="0"/>
        <v>2783403</v>
      </c>
      <c r="R9" s="6">
        <f t="shared" si="1"/>
        <v>2783403</v>
      </c>
      <c r="S9" s="2">
        <f t="shared" si="2"/>
        <v>2805251</v>
      </c>
      <c r="T9"/>
      <c r="U9" s="7">
        <f t="shared" si="3"/>
        <v>0</v>
      </c>
    </row>
    <row r="10" spans="1:21" s="3" customFormat="1" x14ac:dyDescent="0.25">
      <c r="A10" s="1">
        <v>40909</v>
      </c>
      <c r="B10" t="s">
        <v>64</v>
      </c>
      <c r="C10" s="2"/>
      <c r="D10" s="2"/>
      <c r="E10" s="2">
        <v>2613314</v>
      </c>
      <c r="G10" s="2">
        <v>126596</v>
      </c>
      <c r="H10" s="2">
        <v>3030</v>
      </c>
      <c r="I10"/>
      <c r="J10" s="2"/>
      <c r="K10" s="2">
        <v>25888</v>
      </c>
      <c r="O10" s="5"/>
      <c r="P10" s="4"/>
      <c r="Q10" s="2">
        <f t="shared" si="0"/>
        <v>2613314</v>
      </c>
      <c r="R10" s="6">
        <f t="shared" si="1"/>
        <v>2613314</v>
      </c>
      <c r="S10" s="2">
        <f t="shared" si="2"/>
        <v>2639202</v>
      </c>
      <c r="T10"/>
      <c r="U10" s="7">
        <f t="shared" si="3"/>
        <v>0</v>
      </c>
    </row>
    <row r="11" spans="1:21" s="3" customFormat="1" x14ac:dyDescent="0.25">
      <c r="A11" s="1">
        <v>41000</v>
      </c>
      <c r="B11" t="s">
        <v>65</v>
      </c>
      <c r="C11" s="2"/>
      <c r="D11" s="2"/>
      <c r="E11" s="2">
        <v>2565704</v>
      </c>
      <c r="G11" s="2">
        <v>115126</v>
      </c>
      <c r="H11" s="2">
        <v>138</v>
      </c>
      <c r="I11"/>
      <c r="J11" s="2"/>
      <c r="K11" s="2">
        <v>29719</v>
      </c>
      <c r="O11" s="5"/>
      <c r="P11" s="4"/>
      <c r="Q11" s="2">
        <f t="shared" si="0"/>
        <v>2565704</v>
      </c>
      <c r="R11" s="6">
        <f t="shared" si="1"/>
        <v>2565704</v>
      </c>
      <c r="S11" s="2">
        <f t="shared" si="2"/>
        <v>2595423</v>
      </c>
      <c r="T11"/>
      <c r="U11" s="7">
        <f t="shared" si="3"/>
        <v>0</v>
      </c>
    </row>
    <row r="12" spans="1:21" s="3" customFormat="1" x14ac:dyDescent="0.25">
      <c r="A12" s="1">
        <v>41091</v>
      </c>
      <c r="B12" t="s">
        <v>66</v>
      </c>
      <c r="C12" s="2"/>
      <c r="D12" s="2"/>
      <c r="E12" s="2">
        <v>2562038</v>
      </c>
      <c r="G12" s="2">
        <v>121064</v>
      </c>
      <c r="H12" s="2">
        <v>125</v>
      </c>
      <c r="I12"/>
      <c r="J12" s="2"/>
      <c r="K12" s="2">
        <v>20897</v>
      </c>
      <c r="O12" s="5"/>
      <c r="P12" s="4"/>
      <c r="Q12" s="2">
        <f t="shared" si="0"/>
        <v>2562038</v>
      </c>
      <c r="R12" s="6">
        <f t="shared" si="1"/>
        <v>2562038</v>
      </c>
      <c r="S12" s="2">
        <f t="shared" si="2"/>
        <v>2582935</v>
      </c>
      <c r="T12"/>
      <c r="U12" s="7">
        <f t="shared" si="3"/>
        <v>0</v>
      </c>
    </row>
    <row r="13" spans="1:21" s="3" customFormat="1" x14ac:dyDescent="0.25">
      <c r="A13" s="1">
        <v>41183</v>
      </c>
      <c r="B13" t="s">
        <v>67</v>
      </c>
      <c r="C13" s="2"/>
      <c r="D13" s="2"/>
      <c r="E13" s="2">
        <v>2533578</v>
      </c>
      <c r="G13" s="2">
        <v>129076</v>
      </c>
      <c r="H13" s="2">
        <v>22</v>
      </c>
      <c r="I13"/>
      <c r="J13" s="2"/>
      <c r="K13" s="2">
        <v>23925</v>
      </c>
      <c r="O13" s="5"/>
      <c r="P13" s="4"/>
      <c r="Q13" s="2">
        <f t="shared" si="0"/>
        <v>2533578</v>
      </c>
      <c r="R13" s="6">
        <f t="shared" si="1"/>
        <v>2533578</v>
      </c>
      <c r="S13" s="2">
        <f t="shared" si="2"/>
        <v>2557503</v>
      </c>
      <c r="T13"/>
      <c r="U13" s="7">
        <f t="shared" si="3"/>
        <v>0</v>
      </c>
    </row>
    <row r="14" spans="1:21" s="3" customFormat="1" x14ac:dyDescent="0.25">
      <c r="A14" s="1">
        <v>41275</v>
      </c>
      <c r="B14" t="s">
        <v>68</v>
      </c>
      <c r="C14" s="2"/>
      <c r="D14" s="2"/>
      <c r="E14" s="2">
        <v>2409336</v>
      </c>
      <c r="G14" s="2">
        <v>113157</v>
      </c>
      <c r="H14" s="2">
        <v>200</v>
      </c>
      <c r="I14"/>
      <c r="J14" s="2"/>
      <c r="K14" s="2">
        <v>24510</v>
      </c>
      <c r="O14" s="5"/>
      <c r="P14" s="4"/>
      <c r="Q14" s="2">
        <f t="shared" si="0"/>
        <v>2409336</v>
      </c>
      <c r="R14" s="6">
        <f t="shared" si="1"/>
        <v>2409336</v>
      </c>
      <c r="S14" s="2">
        <f t="shared" si="2"/>
        <v>2433846</v>
      </c>
      <c r="T14"/>
      <c r="U14" s="7">
        <f t="shared" si="3"/>
        <v>0</v>
      </c>
    </row>
    <row r="15" spans="1:21" s="3" customFormat="1" x14ac:dyDescent="0.25">
      <c r="A15" s="1">
        <v>41365</v>
      </c>
      <c r="B15" t="s">
        <v>69</v>
      </c>
      <c r="C15" s="2"/>
      <c r="D15" s="2"/>
      <c r="E15" s="2">
        <v>2448170</v>
      </c>
      <c r="G15" s="2">
        <v>121385</v>
      </c>
      <c r="H15" s="2">
        <v>134</v>
      </c>
      <c r="I15"/>
      <c r="J15" s="2"/>
      <c r="K15" s="2">
        <v>22770</v>
      </c>
      <c r="O15" s="5"/>
      <c r="P15" s="4"/>
      <c r="Q15" s="2">
        <f t="shared" si="0"/>
        <v>2448170</v>
      </c>
      <c r="R15" s="6">
        <f t="shared" si="1"/>
        <v>2448170</v>
      </c>
      <c r="S15" s="2">
        <f t="shared" si="2"/>
        <v>2470940</v>
      </c>
      <c r="T15"/>
      <c r="U15" s="7">
        <f t="shared" si="3"/>
        <v>0</v>
      </c>
    </row>
    <row r="16" spans="1:21" s="3" customFormat="1" x14ac:dyDescent="0.25">
      <c r="A16" s="1">
        <v>41456</v>
      </c>
      <c r="B16" t="s">
        <v>70</v>
      </c>
      <c r="C16" s="2"/>
      <c r="D16" s="2"/>
      <c r="E16" s="2">
        <v>2517419</v>
      </c>
      <c r="G16" s="2">
        <v>109066</v>
      </c>
      <c r="H16" s="2">
        <v>231</v>
      </c>
      <c r="I16"/>
      <c r="J16" s="2"/>
      <c r="K16" s="2">
        <v>21857</v>
      </c>
      <c r="O16" s="5"/>
      <c r="P16" s="4"/>
      <c r="Q16" s="2">
        <f t="shared" si="0"/>
        <v>2517419</v>
      </c>
      <c r="R16" s="6">
        <f t="shared" si="1"/>
        <v>2517419</v>
      </c>
      <c r="S16" s="2">
        <f t="shared" si="2"/>
        <v>2539276</v>
      </c>
      <c r="T16"/>
      <c r="U16" s="7">
        <f t="shared" si="3"/>
        <v>0</v>
      </c>
    </row>
    <row r="17" spans="1:21" s="3" customFormat="1" x14ac:dyDescent="0.25">
      <c r="A17" s="1">
        <v>41548</v>
      </c>
      <c r="B17" t="s">
        <v>71</v>
      </c>
      <c r="C17" s="2"/>
      <c r="D17" s="2"/>
      <c r="E17" s="2">
        <v>2446332</v>
      </c>
      <c r="G17" s="2">
        <v>108429</v>
      </c>
      <c r="H17" s="2">
        <v>2346</v>
      </c>
      <c r="I17"/>
      <c r="J17" s="2"/>
      <c r="K17" s="2">
        <v>22948</v>
      </c>
      <c r="O17" s="5"/>
      <c r="P17" s="4"/>
      <c r="Q17" s="2">
        <f t="shared" si="0"/>
        <v>2446332</v>
      </c>
      <c r="R17" s="6">
        <f t="shared" si="1"/>
        <v>2446332</v>
      </c>
      <c r="S17" s="2">
        <f t="shared" si="2"/>
        <v>2469280</v>
      </c>
      <c r="T17"/>
      <c r="U17" s="7">
        <f t="shared" si="3"/>
        <v>0</v>
      </c>
    </row>
    <row r="18" spans="1:21" s="3" customFormat="1" x14ac:dyDescent="0.25">
      <c r="A18" s="1">
        <v>41640</v>
      </c>
      <c r="B18" t="s">
        <v>72</v>
      </c>
      <c r="C18" s="2"/>
      <c r="D18" s="2"/>
      <c r="E18" s="2">
        <v>2644879</v>
      </c>
      <c r="G18" s="2">
        <v>118100</v>
      </c>
      <c r="H18" s="2">
        <v>2986</v>
      </c>
      <c r="I18"/>
      <c r="J18" s="2"/>
      <c r="K18" s="2">
        <v>26167</v>
      </c>
      <c r="O18" s="5"/>
      <c r="P18" s="4"/>
      <c r="Q18" s="2">
        <f t="shared" si="0"/>
        <v>2644879</v>
      </c>
      <c r="R18" s="6">
        <f t="shared" si="1"/>
        <v>2644879</v>
      </c>
      <c r="S18" s="2">
        <f t="shared" si="2"/>
        <v>2671046</v>
      </c>
      <c r="T18"/>
      <c r="U18" s="7">
        <f t="shared" si="3"/>
        <v>0</v>
      </c>
    </row>
    <row r="19" spans="1:21" s="3" customFormat="1" x14ac:dyDescent="0.25">
      <c r="A19" s="1">
        <v>41730</v>
      </c>
      <c r="B19" t="s">
        <v>73</v>
      </c>
      <c r="C19" s="2"/>
      <c r="D19" s="2"/>
      <c r="E19" s="2">
        <v>2433220</v>
      </c>
      <c r="G19" s="2">
        <v>127963</v>
      </c>
      <c r="H19" s="2">
        <v>3414</v>
      </c>
      <c r="I19"/>
      <c r="J19" s="2"/>
      <c r="K19" s="2">
        <v>25552</v>
      </c>
      <c r="O19" s="5"/>
      <c r="P19" s="4"/>
      <c r="Q19" s="2">
        <f t="shared" si="0"/>
        <v>2433220</v>
      </c>
      <c r="R19" s="6">
        <f t="shared" si="1"/>
        <v>2433220</v>
      </c>
      <c r="S19" s="2">
        <f t="shared" si="2"/>
        <v>2458772</v>
      </c>
      <c r="T19"/>
      <c r="U19" s="7">
        <f t="shared" si="3"/>
        <v>0</v>
      </c>
    </row>
    <row r="20" spans="1:21" s="3" customFormat="1" x14ac:dyDescent="0.25">
      <c r="A20" s="1">
        <v>41821</v>
      </c>
      <c r="B20" t="s">
        <v>74</v>
      </c>
      <c r="C20" s="2"/>
      <c r="D20" s="2"/>
      <c r="E20" s="2">
        <v>2435458</v>
      </c>
      <c r="G20" s="2">
        <v>126548</v>
      </c>
      <c r="H20" s="2">
        <v>2763</v>
      </c>
      <c r="I20"/>
      <c r="J20" s="2"/>
      <c r="K20" s="2">
        <v>22827</v>
      </c>
      <c r="O20" s="5"/>
      <c r="P20" s="4"/>
      <c r="Q20" s="2">
        <f t="shared" si="0"/>
        <v>2435458</v>
      </c>
      <c r="R20" s="6">
        <f t="shared" si="1"/>
        <v>2435458</v>
      </c>
      <c r="S20" s="2">
        <f t="shared" si="2"/>
        <v>2458285</v>
      </c>
      <c r="T20"/>
      <c r="U20" s="7">
        <f t="shared" si="3"/>
        <v>0</v>
      </c>
    </row>
    <row r="21" spans="1:21" s="3" customFormat="1" x14ac:dyDescent="0.25">
      <c r="A21" s="1">
        <v>41913</v>
      </c>
      <c r="B21" t="s">
        <v>75</v>
      </c>
      <c r="C21" s="2"/>
      <c r="D21" s="2"/>
      <c r="E21" s="2">
        <v>2313526</v>
      </c>
      <c r="G21" s="2">
        <v>223797</v>
      </c>
      <c r="H21" s="2">
        <v>11047</v>
      </c>
      <c r="I21"/>
      <c r="J21" s="2"/>
      <c r="K21" s="2">
        <v>20797</v>
      </c>
      <c r="O21" s="5"/>
      <c r="P21" s="4"/>
      <c r="Q21" s="2">
        <f t="shared" si="0"/>
        <v>2313526</v>
      </c>
      <c r="R21" s="6">
        <f t="shared" si="1"/>
        <v>2313526</v>
      </c>
      <c r="S21" s="2">
        <f t="shared" si="2"/>
        <v>2334323</v>
      </c>
      <c r="T21"/>
      <c r="U21" s="7">
        <f t="shared" si="3"/>
        <v>0</v>
      </c>
    </row>
    <row r="22" spans="1:21" s="3" customFormat="1" x14ac:dyDescent="0.25">
      <c r="A22" s="1">
        <v>42005</v>
      </c>
      <c r="B22" t="s">
        <v>76</v>
      </c>
      <c r="C22" s="2"/>
      <c r="D22" s="2"/>
      <c r="E22" s="2">
        <v>2252149</v>
      </c>
      <c r="G22" s="2">
        <v>372723</v>
      </c>
      <c r="H22" s="2">
        <v>41535</v>
      </c>
      <c r="I22"/>
      <c r="J22" s="2"/>
      <c r="K22" s="2">
        <v>25475</v>
      </c>
      <c r="O22" s="5"/>
      <c r="P22" s="4"/>
      <c r="Q22" s="2">
        <f t="shared" si="0"/>
        <v>2252149</v>
      </c>
      <c r="R22" s="6">
        <f t="shared" si="1"/>
        <v>2252149</v>
      </c>
      <c r="S22" s="2">
        <f t="shared" si="2"/>
        <v>2277624</v>
      </c>
      <c r="T22"/>
      <c r="U22" s="7">
        <f t="shared" si="3"/>
        <v>0</v>
      </c>
    </row>
    <row r="23" spans="1:21" s="3" customFormat="1" x14ac:dyDescent="0.25">
      <c r="A23" s="1">
        <v>42095</v>
      </c>
      <c r="B23" t="s">
        <v>77</v>
      </c>
      <c r="C23" s="2"/>
      <c r="D23" s="2"/>
      <c r="E23" s="2">
        <v>2223143</v>
      </c>
      <c r="G23" s="2">
        <v>376683</v>
      </c>
      <c r="H23" s="2">
        <v>37384</v>
      </c>
      <c r="I23"/>
      <c r="J23" s="2"/>
      <c r="K23" s="2">
        <v>26590</v>
      </c>
      <c r="O23" s="5"/>
      <c r="P23" s="4"/>
      <c r="Q23" s="2">
        <f t="shared" si="0"/>
        <v>2223143</v>
      </c>
      <c r="R23" s="6">
        <f t="shared" si="1"/>
        <v>2223143</v>
      </c>
      <c r="S23" s="2">
        <f t="shared" si="2"/>
        <v>2249733</v>
      </c>
      <c r="T23"/>
      <c r="U23" s="7">
        <f t="shared" si="3"/>
        <v>0</v>
      </c>
    </row>
    <row r="24" spans="1:21" s="3" customFormat="1" x14ac:dyDescent="0.25">
      <c r="A24" s="1">
        <v>42186</v>
      </c>
      <c r="B24" t="s">
        <v>78</v>
      </c>
      <c r="C24" s="2"/>
      <c r="D24" s="2"/>
      <c r="E24" s="2">
        <v>2207783</v>
      </c>
      <c r="G24" s="2">
        <v>354351</v>
      </c>
      <c r="H24" s="2">
        <v>41200</v>
      </c>
      <c r="I24"/>
      <c r="J24" s="2"/>
      <c r="K24" s="2">
        <v>20004</v>
      </c>
      <c r="O24" s="5"/>
      <c r="P24" s="4"/>
      <c r="Q24" s="2">
        <f t="shared" si="0"/>
        <v>2207783</v>
      </c>
      <c r="R24" s="6">
        <f t="shared" si="1"/>
        <v>2207783</v>
      </c>
      <c r="S24" s="2">
        <f t="shared" si="2"/>
        <v>2227787</v>
      </c>
      <c r="T24"/>
      <c r="U24" s="7">
        <f t="shared" si="3"/>
        <v>0</v>
      </c>
    </row>
    <row r="25" spans="1:21" s="3" customFormat="1" x14ac:dyDescent="0.25">
      <c r="A25" s="1">
        <v>42278</v>
      </c>
      <c r="B25" t="s">
        <v>79</v>
      </c>
      <c r="C25" s="2"/>
      <c r="D25" s="2"/>
      <c r="E25" s="2">
        <v>2055435</v>
      </c>
      <c r="G25" s="2">
        <v>350551</v>
      </c>
      <c r="H25" s="2">
        <v>28555</v>
      </c>
      <c r="I25"/>
      <c r="J25" s="2"/>
      <c r="K25" s="2">
        <v>22788</v>
      </c>
      <c r="O25" s="5"/>
      <c r="P25" s="4"/>
      <c r="Q25" s="2">
        <f t="shared" si="0"/>
        <v>2055435</v>
      </c>
      <c r="R25" s="6">
        <f t="shared" si="1"/>
        <v>2055435</v>
      </c>
      <c r="S25" s="2">
        <f t="shared" si="2"/>
        <v>2078223</v>
      </c>
      <c r="T25"/>
      <c r="U25" s="7">
        <f t="shared" si="3"/>
        <v>0</v>
      </c>
    </row>
    <row r="26" spans="1:21" s="3" customFormat="1" x14ac:dyDescent="0.25">
      <c r="A26" s="1">
        <v>42370</v>
      </c>
      <c r="B26" t="s">
        <v>80</v>
      </c>
      <c r="C26" s="2"/>
      <c r="D26" s="2"/>
      <c r="E26" s="2">
        <v>2239976</v>
      </c>
      <c r="G26" s="2">
        <v>351819</v>
      </c>
      <c r="H26" s="2">
        <v>29261</v>
      </c>
      <c r="I26"/>
      <c r="J26" s="2"/>
      <c r="K26" s="2">
        <v>27474</v>
      </c>
      <c r="O26" s="5"/>
      <c r="P26" s="4"/>
      <c r="Q26" s="2">
        <f t="shared" si="0"/>
        <v>2239976</v>
      </c>
      <c r="R26" s="6">
        <f t="shared" si="1"/>
        <v>2239976</v>
      </c>
      <c r="S26" s="2">
        <f t="shared" si="2"/>
        <v>2267450</v>
      </c>
      <c r="T26"/>
      <c r="U26" s="7">
        <f t="shared" si="3"/>
        <v>0</v>
      </c>
    </row>
    <row r="27" spans="1:21" s="3" customFormat="1" x14ac:dyDescent="0.25">
      <c r="A27" s="1">
        <v>42461</v>
      </c>
      <c r="B27" t="s">
        <v>81</v>
      </c>
      <c r="C27" s="2"/>
      <c r="D27" s="2"/>
      <c r="E27" s="2">
        <v>2147372</v>
      </c>
      <c r="G27" s="2">
        <v>309330</v>
      </c>
      <c r="H27" s="2">
        <v>26998</v>
      </c>
      <c r="I27"/>
      <c r="J27" s="2"/>
      <c r="K27" s="2">
        <v>22571</v>
      </c>
      <c r="O27" s="5"/>
      <c r="P27" s="4"/>
      <c r="Q27" s="2">
        <f t="shared" si="0"/>
        <v>2147372</v>
      </c>
      <c r="R27" s="6">
        <f t="shared" si="1"/>
        <v>2147372</v>
      </c>
      <c r="S27" s="2">
        <f t="shared" si="2"/>
        <v>2169943</v>
      </c>
      <c r="T27"/>
      <c r="U27" s="7">
        <f t="shared" si="3"/>
        <v>0</v>
      </c>
    </row>
    <row r="28" spans="1:21" s="3" customFormat="1" x14ac:dyDescent="0.25">
      <c r="A28" s="1">
        <v>42552</v>
      </c>
      <c r="B28" t="s">
        <v>82</v>
      </c>
      <c r="C28" s="2"/>
      <c r="D28" s="2"/>
      <c r="E28" s="2">
        <v>2018125</v>
      </c>
      <c r="G28" s="2">
        <v>310358</v>
      </c>
      <c r="H28" s="2">
        <v>26241</v>
      </c>
      <c r="I28"/>
      <c r="J28" s="2"/>
      <c r="K28" s="2">
        <v>24146</v>
      </c>
      <c r="O28" s="5"/>
      <c r="P28" s="4"/>
      <c r="Q28" s="2">
        <f t="shared" si="0"/>
        <v>2018125</v>
      </c>
      <c r="R28" s="6">
        <f t="shared" si="1"/>
        <v>2018125</v>
      </c>
      <c r="S28" s="2">
        <f t="shared" si="2"/>
        <v>2042271</v>
      </c>
      <c r="T28"/>
      <c r="U28" s="7">
        <f t="shared" si="3"/>
        <v>0</v>
      </c>
    </row>
    <row r="29" spans="1:21" s="3" customFormat="1" x14ac:dyDescent="0.25">
      <c r="A29" s="1">
        <v>42644</v>
      </c>
      <c r="B29" t="s">
        <v>83</v>
      </c>
      <c r="C29" s="2"/>
      <c r="D29" s="2"/>
      <c r="E29" s="2">
        <v>2078171</v>
      </c>
      <c r="G29" s="2">
        <v>298415</v>
      </c>
      <c r="H29" s="2">
        <v>41241</v>
      </c>
      <c r="I29"/>
      <c r="J29" s="2"/>
      <c r="K29" s="2">
        <v>22135</v>
      </c>
      <c r="O29" s="5"/>
      <c r="P29" s="4"/>
      <c r="Q29" s="2">
        <f t="shared" si="0"/>
        <v>2078171</v>
      </c>
      <c r="R29" s="6">
        <f t="shared" si="1"/>
        <v>2078171</v>
      </c>
      <c r="S29" s="2">
        <f t="shared" si="2"/>
        <v>2100306</v>
      </c>
      <c r="T29"/>
      <c r="U29" s="7">
        <f t="shared" si="3"/>
        <v>0</v>
      </c>
    </row>
    <row r="30" spans="1:21" s="3" customFormat="1" x14ac:dyDescent="0.25">
      <c r="A30" s="1">
        <v>42736</v>
      </c>
      <c r="B30" t="s">
        <v>20</v>
      </c>
      <c r="C30" s="2"/>
      <c r="D30" s="2"/>
      <c r="E30" s="2">
        <v>2058216</v>
      </c>
      <c r="G30" s="2">
        <v>323956</v>
      </c>
      <c r="H30" s="2">
        <v>24610</v>
      </c>
      <c r="I30"/>
      <c r="J30" s="2"/>
      <c r="K30" s="2">
        <v>25603</v>
      </c>
      <c r="O30" s="5"/>
      <c r="P30" s="4"/>
      <c r="Q30" s="2">
        <f t="shared" si="0"/>
        <v>2058216</v>
      </c>
      <c r="R30" s="6">
        <f t="shared" si="1"/>
        <v>2058216</v>
      </c>
      <c r="S30" s="2">
        <f t="shared" si="2"/>
        <v>2083819</v>
      </c>
      <c r="T30"/>
      <c r="U30" s="7">
        <f t="shared" si="3"/>
        <v>0</v>
      </c>
    </row>
    <row r="31" spans="1:21" s="3" customFormat="1" x14ac:dyDescent="0.25">
      <c r="A31" s="1">
        <v>42826</v>
      </c>
      <c r="B31" t="s">
        <v>21</v>
      </c>
      <c r="C31" s="2"/>
      <c r="D31" s="2"/>
      <c r="E31" s="2">
        <v>2082141</v>
      </c>
      <c r="G31" s="2">
        <v>299356</v>
      </c>
      <c r="H31" s="2">
        <v>43691</v>
      </c>
      <c r="I31"/>
      <c r="J31" s="2"/>
      <c r="K31" s="2">
        <v>26425</v>
      </c>
      <c r="O31" s="5"/>
      <c r="P31" s="4"/>
      <c r="Q31" s="2">
        <f t="shared" si="0"/>
        <v>2082141</v>
      </c>
      <c r="R31" s="6">
        <f t="shared" si="1"/>
        <v>2082141</v>
      </c>
      <c r="S31" s="2">
        <f t="shared" si="2"/>
        <v>2108566</v>
      </c>
      <c r="T31"/>
      <c r="U31" s="7">
        <f t="shared" si="3"/>
        <v>0</v>
      </c>
    </row>
    <row r="32" spans="1:21" s="3" customFormat="1" x14ac:dyDescent="0.25">
      <c r="A32" s="1">
        <v>42917</v>
      </c>
      <c r="B32" t="s">
        <v>22</v>
      </c>
      <c r="C32" s="2"/>
      <c r="D32" s="2"/>
      <c r="E32" s="2">
        <v>2107967</v>
      </c>
      <c r="G32" s="2">
        <v>289538</v>
      </c>
      <c r="H32" s="2">
        <v>39734</v>
      </c>
      <c r="I32"/>
      <c r="J32" s="2"/>
      <c r="K32" s="2">
        <v>24026</v>
      </c>
      <c r="O32" s="5"/>
      <c r="P32" s="4"/>
      <c r="Q32" s="2">
        <f t="shared" si="0"/>
        <v>2107967</v>
      </c>
      <c r="R32" s="6">
        <f t="shared" si="1"/>
        <v>2107967</v>
      </c>
      <c r="S32" s="2">
        <f t="shared" si="2"/>
        <v>2131993</v>
      </c>
      <c r="T32"/>
      <c r="U32" s="7">
        <f t="shared" si="3"/>
        <v>0</v>
      </c>
    </row>
    <row r="33" spans="1:21" s="3" customFormat="1" x14ac:dyDescent="0.25">
      <c r="A33" s="1">
        <v>43009</v>
      </c>
      <c r="B33" t="s">
        <v>23</v>
      </c>
      <c r="C33" s="2"/>
      <c r="D33" s="2"/>
      <c r="E33" s="2">
        <v>2007143</v>
      </c>
      <c r="G33" s="2">
        <v>322393</v>
      </c>
      <c r="H33" s="2">
        <v>22826</v>
      </c>
      <c r="I33"/>
      <c r="J33" s="2"/>
      <c r="K33" s="2">
        <v>23623</v>
      </c>
      <c r="O33" s="5"/>
      <c r="P33" s="4"/>
      <c r="Q33" s="2">
        <f t="shared" si="0"/>
        <v>2007143</v>
      </c>
      <c r="R33" s="6">
        <f t="shared" si="1"/>
        <v>2007143</v>
      </c>
      <c r="S33" s="2">
        <f t="shared" si="2"/>
        <v>2030766</v>
      </c>
      <c r="T33"/>
      <c r="U33" s="7">
        <f t="shared" si="3"/>
        <v>0</v>
      </c>
    </row>
    <row r="34" spans="1:21" s="3" customFormat="1" x14ac:dyDescent="0.25">
      <c r="A34" s="1">
        <v>43101</v>
      </c>
      <c r="B34" t="s">
        <v>24</v>
      </c>
      <c r="C34" s="2"/>
      <c r="D34" s="2"/>
      <c r="E34" s="2">
        <v>2134350</v>
      </c>
      <c r="G34" s="2">
        <v>299972</v>
      </c>
      <c r="H34" s="2">
        <v>38815</v>
      </c>
      <c r="I34"/>
      <c r="J34" s="2">
        <v>1633</v>
      </c>
      <c r="K34" s="2">
        <v>26203</v>
      </c>
      <c r="O34" s="5"/>
      <c r="P34" s="4"/>
      <c r="Q34" s="2">
        <f t="shared" si="0"/>
        <v>2134350</v>
      </c>
      <c r="R34" s="6">
        <f t="shared" si="1"/>
        <v>2134350</v>
      </c>
      <c r="S34" s="2">
        <f>SUM(I34:K34,Q34,M34:N34)</f>
        <v>2162186</v>
      </c>
      <c r="T34"/>
      <c r="U34" s="7">
        <f t="shared" si="3"/>
        <v>7.552541733227391E-4</v>
      </c>
    </row>
    <row r="35" spans="1:21" s="3" customFormat="1" x14ac:dyDescent="0.25">
      <c r="A35" s="1">
        <v>43191</v>
      </c>
      <c r="B35" t="s">
        <v>25</v>
      </c>
      <c r="C35" s="2"/>
      <c r="D35" s="2"/>
      <c r="E35" s="2">
        <v>1976535</v>
      </c>
      <c r="G35" s="2">
        <v>297307</v>
      </c>
      <c r="H35" s="2">
        <v>22435</v>
      </c>
      <c r="I35"/>
      <c r="J35" s="2">
        <v>2905</v>
      </c>
      <c r="K35" s="2">
        <v>25269</v>
      </c>
      <c r="O35" s="5"/>
      <c r="P35" s="4"/>
      <c r="Q35" s="2">
        <f t="shared" si="0"/>
        <v>1976535</v>
      </c>
      <c r="R35" s="6">
        <f t="shared" si="1"/>
        <v>1976535</v>
      </c>
      <c r="S35" s="2">
        <f t="shared" si="2"/>
        <v>2004709</v>
      </c>
      <c r="T35"/>
      <c r="U35" s="7">
        <f t="shared" si="3"/>
        <v>1.4490881220167117E-3</v>
      </c>
    </row>
    <row r="36" spans="1:21" s="3" customFormat="1" x14ac:dyDescent="0.25">
      <c r="A36" s="1">
        <v>43282</v>
      </c>
      <c r="B36" t="s">
        <v>26</v>
      </c>
      <c r="C36" s="2"/>
      <c r="D36" s="2"/>
      <c r="E36" s="2">
        <v>1940818</v>
      </c>
      <c r="G36" s="2">
        <v>282256</v>
      </c>
      <c r="H36" s="2">
        <v>19641</v>
      </c>
      <c r="I36"/>
      <c r="J36" s="2">
        <v>7090</v>
      </c>
      <c r="K36" s="2">
        <v>23024</v>
      </c>
      <c r="O36" s="5"/>
      <c r="P36" s="4"/>
      <c r="Q36" s="2">
        <f t="shared" si="0"/>
        <v>1940818</v>
      </c>
      <c r="R36" s="6">
        <f t="shared" si="1"/>
        <v>1940818</v>
      </c>
      <c r="S36" s="2">
        <f t="shared" si="2"/>
        <v>1970932</v>
      </c>
      <c r="T36"/>
      <c r="U36" s="7">
        <f t="shared" si="3"/>
        <v>3.5972829098111958E-3</v>
      </c>
    </row>
    <row r="37" spans="1:21" s="3" customFormat="1" x14ac:dyDescent="0.25">
      <c r="A37" s="1">
        <v>43374</v>
      </c>
      <c r="B37" t="s">
        <v>27</v>
      </c>
      <c r="C37" s="2"/>
      <c r="D37" s="2"/>
      <c r="E37" s="2">
        <v>1867149</v>
      </c>
      <c r="G37" s="2">
        <v>329139</v>
      </c>
      <c r="H37" s="2">
        <v>11233</v>
      </c>
      <c r="I37"/>
      <c r="J37" s="2">
        <v>9614</v>
      </c>
      <c r="K37" s="2">
        <v>19705</v>
      </c>
      <c r="O37" s="5"/>
      <c r="P37" s="4"/>
      <c r="Q37" s="2">
        <f t="shared" si="0"/>
        <v>1867149</v>
      </c>
      <c r="R37" s="6">
        <f t="shared" si="1"/>
        <v>1867149</v>
      </c>
      <c r="S37" s="2">
        <f t="shared" si="2"/>
        <v>1896468</v>
      </c>
      <c r="T37"/>
      <c r="U37" s="7">
        <f t="shared" si="3"/>
        <v>5.0694237920175826E-3</v>
      </c>
    </row>
    <row r="38" spans="1:21" s="3" customFormat="1" x14ac:dyDescent="0.25">
      <c r="A38" s="1">
        <v>43466</v>
      </c>
      <c r="B38" t="s">
        <v>28</v>
      </c>
      <c r="C38" s="2"/>
      <c r="D38" s="2"/>
      <c r="E38" s="2">
        <v>1900776</v>
      </c>
      <c r="G38" s="2">
        <v>323597</v>
      </c>
      <c r="H38" s="2">
        <v>19131</v>
      </c>
      <c r="I38"/>
      <c r="J38" s="2">
        <v>12103</v>
      </c>
      <c r="K38" s="2">
        <v>19722</v>
      </c>
      <c r="O38" s="5"/>
      <c r="P38" s="4"/>
      <c r="Q38" s="2">
        <f t="shared" si="0"/>
        <v>1900776</v>
      </c>
      <c r="R38" s="6">
        <f t="shared" si="1"/>
        <v>1900776</v>
      </c>
      <c r="S38" s="2">
        <f t="shared" si="2"/>
        <v>1932601</v>
      </c>
      <c r="T38"/>
      <c r="U38" s="7">
        <f t="shared" si="3"/>
        <v>6.2625446225061457E-3</v>
      </c>
    </row>
    <row r="39" spans="1:21" s="3" customFormat="1" x14ac:dyDescent="0.25">
      <c r="A39" s="1">
        <v>43556</v>
      </c>
      <c r="B39" t="s">
        <v>29</v>
      </c>
      <c r="C39" s="2"/>
      <c r="D39" s="2"/>
      <c r="E39" s="2">
        <v>1802538</v>
      </c>
      <c r="G39" s="2">
        <v>304500</v>
      </c>
      <c r="H39" s="2">
        <v>67215</v>
      </c>
      <c r="I39"/>
      <c r="J39" s="2">
        <v>14043</v>
      </c>
      <c r="K39" s="2">
        <v>16749</v>
      </c>
      <c r="O39" s="5"/>
      <c r="P39" s="4"/>
      <c r="Q39" s="2">
        <f t="shared" si="0"/>
        <v>1802538</v>
      </c>
      <c r="R39" s="6">
        <f t="shared" si="1"/>
        <v>1802538</v>
      </c>
      <c r="S39" s="2">
        <f t="shared" si="2"/>
        <v>1833330</v>
      </c>
      <c r="T39"/>
      <c r="U39" s="7">
        <f t="shared" si="3"/>
        <v>7.6598321087856525E-3</v>
      </c>
    </row>
    <row r="40" spans="1:21" s="3" customFormat="1" x14ac:dyDescent="0.25">
      <c r="A40" s="1">
        <v>43647</v>
      </c>
      <c r="B40" t="s">
        <v>30</v>
      </c>
      <c r="C40" s="2"/>
      <c r="D40" s="2"/>
      <c r="E40" s="2">
        <v>1693136</v>
      </c>
      <c r="G40" s="2">
        <v>322133</v>
      </c>
      <c r="H40" s="2">
        <v>38830</v>
      </c>
      <c r="I40"/>
      <c r="J40" s="2">
        <v>24808</v>
      </c>
      <c r="K40" s="2">
        <v>16887</v>
      </c>
      <c r="O40" s="5"/>
      <c r="P40" s="4"/>
      <c r="Q40" s="2">
        <f t="shared" si="0"/>
        <v>1693136</v>
      </c>
      <c r="R40" s="6">
        <f t="shared" si="1"/>
        <v>1693136</v>
      </c>
      <c r="S40" s="2">
        <f t="shared" si="2"/>
        <v>1734831</v>
      </c>
      <c r="T40"/>
      <c r="U40" s="7">
        <f t="shared" si="3"/>
        <v>1.429995198379554E-2</v>
      </c>
    </row>
    <row r="41" spans="1:21" s="3" customFormat="1" x14ac:dyDescent="0.25">
      <c r="A41" s="1">
        <v>43739</v>
      </c>
      <c r="B41" t="s">
        <v>31</v>
      </c>
      <c r="C41" s="2">
        <v>231094</v>
      </c>
      <c r="D41" s="2">
        <v>853272</v>
      </c>
      <c r="E41" s="2">
        <v>693283</v>
      </c>
      <c r="F41" s="2">
        <v>1777649</v>
      </c>
      <c r="G41" s="2">
        <v>357145</v>
      </c>
      <c r="H41" s="2">
        <v>53029</v>
      </c>
      <c r="I41"/>
      <c r="J41" s="2">
        <v>20601</v>
      </c>
      <c r="K41" s="2">
        <v>19929</v>
      </c>
      <c r="O41" s="5"/>
      <c r="P41" s="4"/>
      <c r="Q41" s="2">
        <f t="shared" ref="Q41:Q45" si="4">SUM(C41:E41,G41:H41)</f>
        <v>2187823</v>
      </c>
      <c r="R41" s="6">
        <f t="shared" si="1"/>
        <v>2187823</v>
      </c>
      <c r="S41" s="2">
        <f t="shared" si="2"/>
        <v>2228353</v>
      </c>
      <c r="T41"/>
      <c r="U41" s="7">
        <f t="shared" si="3"/>
        <v>9.2449445846326857E-3</v>
      </c>
    </row>
    <row r="42" spans="1:21" s="3" customFormat="1" x14ac:dyDescent="0.25">
      <c r="A42" s="1">
        <v>43831</v>
      </c>
      <c r="B42" t="s">
        <v>32</v>
      </c>
      <c r="C42" s="2">
        <v>304602</v>
      </c>
      <c r="D42" s="2">
        <v>989956</v>
      </c>
      <c r="E42" s="2">
        <v>609203</v>
      </c>
      <c r="F42" s="2">
        <v>1903761</v>
      </c>
      <c r="G42" s="2">
        <v>354103</v>
      </c>
      <c r="H42" s="2">
        <v>63122</v>
      </c>
      <c r="I42"/>
      <c r="J42" s="2">
        <v>35426</v>
      </c>
      <c r="K42" s="2">
        <v>20575</v>
      </c>
      <c r="O42" s="5"/>
      <c r="P42" s="4"/>
      <c r="Q42" s="2">
        <f t="shared" si="4"/>
        <v>2320986</v>
      </c>
      <c r="R42" s="6">
        <f t="shared" si="1"/>
        <v>2320986</v>
      </c>
      <c r="S42" s="2">
        <f t="shared" si="2"/>
        <v>2376987</v>
      </c>
      <c r="T42"/>
      <c r="U42" s="7">
        <f t="shared" si="3"/>
        <v>1.4903741585460921E-2</v>
      </c>
    </row>
    <row r="43" spans="1:21" s="3" customFormat="1" x14ac:dyDescent="0.25">
      <c r="A43" s="1">
        <v>43922</v>
      </c>
      <c r="B43" t="s">
        <v>33</v>
      </c>
      <c r="C43" s="2">
        <v>142862</v>
      </c>
      <c r="D43" s="2">
        <v>1092134</v>
      </c>
      <c r="E43" s="2">
        <v>545231</v>
      </c>
      <c r="F43" s="2">
        <v>1780227</v>
      </c>
      <c r="G43" s="2">
        <v>319266</v>
      </c>
      <c r="H43" s="2">
        <v>76017</v>
      </c>
      <c r="I43"/>
      <c r="J43" s="2">
        <v>55637</v>
      </c>
      <c r="K43" s="2">
        <v>18073</v>
      </c>
      <c r="O43" s="5"/>
      <c r="P43" s="4"/>
      <c r="Q43" s="2">
        <f t="shared" si="4"/>
        <v>2175510</v>
      </c>
      <c r="R43" s="6">
        <f t="shared" si="1"/>
        <v>2175510</v>
      </c>
      <c r="S43" s="2">
        <f t="shared" si="2"/>
        <v>2249220</v>
      </c>
      <c r="T43"/>
      <c r="U43" s="7">
        <f t="shared" si="3"/>
        <v>2.4736130747548039E-2</v>
      </c>
    </row>
    <row r="44" spans="1:21" s="3" customFormat="1" x14ac:dyDescent="0.25">
      <c r="A44" s="1">
        <v>44013</v>
      </c>
      <c r="B44" t="s">
        <v>34</v>
      </c>
      <c r="C44" s="2">
        <v>172464</v>
      </c>
      <c r="D44" s="2">
        <v>1059261</v>
      </c>
      <c r="E44" s="2">
        <v>609583</v>
      </c>
      <c r="F44" s="2">
        <v>1841309</v>
      </c>
      <c r="G44" s="2">
        <v>260307</v>
      </c>
      <c r="H44" s="2">
        <v>115034</v>
      </c>
      <c r="I44"/>
      <c r="J44" s="2">
        <v>48623</v>
      </c>
      <c r="K44" s="2">
        <v>17359</v>
      </c>
      <c r="O44" s="5"/>
      <c r="P44" s="4"/>
      <c r="Q44" s="2">
        <f t="shared" si="4"/>
        <v>2216649</v>
      </c>
      <c r="R44" s="6">
        <f t="shared" si="1"/>
        <v>2216649</v>
      </c>
      <c r="S44" s="2">
        <f t="shared" si="2"/>
        <v>2282631</v>
      </c>
      <c r="T44"/>
      <c r="U44" s="7">
        <f t="shared" si="3"/>
        <v>2.1301296617806383E-2</v>
      </c>
    </row>
    <row r="45" spans="1:21" s="3" customFormat="1" x14ac:dyDescent="0.25">
      <c r="A45" s="1">
        <v>44105</v>
      </c>
      <c r="B45" t="s">
        <v>35</v>
      </c>
      <c r="C45" s="2">
        <v>178570</v>
      </c>
      <c r="D45" s="2">
        <v>971484</v>
      </c>
      <c r="E45" s="2">
        <v>842632</v>
      </c>
      <c r="F45" s="2">
        <v>1992687</v>
      </c>
      <c r="G45" s="2">
        <v>286749</v>
      </c>
      <c r="H45" s="2">
        <v>145047</v>
      </c>
      <c r="I45"/>
      <c r="J45" s="2">
        <v>70648</v>
      </c>
      <c r="K45" s="2">
        <v>17717</v>
      </c>
      <c r="O45" s="5"/>
      <c r="P45" s="4"/>
      <c r="Q45" s="2">
        <f t="shared" si="4"/>
        <v>2424482</v>
      </c>
      <c r="R45" s="6">
        <f t="shared" si="1"/>
        <v>2424482</v>
      </c>
      <c r="S45" s="2">
        <f t="shared" si="2"/>
        <v>2512847</v>
      </c>
      <c r="T45"/>
      <c r="U45" s="7">
        <f t="shared" si="3"/>
        <v>2.8114724056020921E-2</v>
      </c>
    </row>
    <row r="46" spans="1:21" x14ac:dyDescent="0.25">
      <c r="A46" s="1">
        <v>44197</v>
      </c>
      <c r="B46" t="s">
        <v>36</v>
      </c>
      <c r="C46" s="2">
        <v>201054</v>
      </c>
      <c r="D46" s="2">
        <v>1016846</v>
      </c>
      <c r="E46" s="2">
        <v>620752</v>
      </c>
      <c r="F46" s="6">
        <f t="shared" ref="F46:F58" si="5">SUM(C46:E46)</f>
        <v>1838652</v>
      </c>
      <c r="G46" s="2">
        <v>250570</v>
      </c>
      <c r="H46" s="2">
        <v>174361</v>
      </c>
      <c r="I46" s="2">
        <v>0</v>
      </c>
      <c r="J46" s="2">
        <v>139489</v>
      </c>
      <c r="K46" s="2">
        <v>20327</v>
      </c>
      <c r="L46" s="2">
        <v>0</v>
      </c>
      <c r="M46" s="2">
        <f>5223+38701+20945</f>
        <v>64869</v>
      </c>
      <c r="N46" s="2">
        <f>2511+1573</f>
        <v>4084</v>
      </c>
      <c r="O46" s="5">
        <f>M46/(SUM(C46:E46))</f>
        <v>3.5280738280000785E-2</v>
      </c>
      <c r="P46" s="4">
        <f>N46/SUM(G46:H46)</f>
        <v>9.6109721342994506E-3</v>
      </c>
      <c r="Q46" s="2">
        <f t="shared" ref="Q46:Q57" si="6">SUM(C46:E46,G46:H46)</f>
        <v>2263583</v>
      </c>
      <c r="R46" s="6">
        <f t="shared" ref="R46:R54" si="7">SUM(M46:N46,Q46)</f>
        <v>2332536</v>
      </c>
      <c r="S46" s="2">
        <f t="shared" ref="S46:S60" si="8">SUM(I46:K46,Q46,M46:N46)</f>
        <v>2492352</v>
      </c>
      <c r="U46" s="7">
        <f t="shared" ref="U46:U63" si="9">SUM(I46,J46,M46,N46)/S46</f>
        <v>8.3632648999820244E-2</v>
      </c>
    </row>
    <row r="47" spans="1:21" x14ac:dyDescent="0.25">
      <c r="A47" s="1">
        <v>44287</v>
      </c>
      <c r="B47" t="s">
        <v>37</v>
      </c>
      <c r="C47" s="2">
        <v>227099</v>
      </c>
      <c r="D47" s="2">
        <v>1038457</v>
      </c>
      <c r="E47" s="2">
        <v>614098</v>
      </c>
      <c r="F47" s="6">
        <f t="shared" si="5"/>
        <v>1879654</v>
      </c>
      <c r="G47" s="2">
        <v>249386</v>
      </c>
      <c r="H47" s="2">
        <v>177640</v>
      </c>
      <c r="I47" s="2">
        <v>250</v>
      </c>
      <c r="J47" s="2">
        <v>157027</v>
      </c>
      <c r="K47" s="2">
        <v>16932</v>
      </c>
      <c r="L47" s="2">
        <v>0</v>
      </c>
      <c r="M47" s="2">
        <f>6010+17338+17844</f>
        <v>41192</v>
      </c>
      <c r="N47" s="2">
        <f>7265+5348</f>
        <v>12613</v>
      </c>
      <c r="O47" s="5">
        <f t="shared" ref="O47:O50" si="10">M47/(SUM(C47:E47))</f>
        <v>2.1914671529973069E-2</v>
      </c>
      <c r="P47" s="4">
        <f t="shared" ref="P47:P50" si="11">N47/SUM(G47:H47)</f>
        <v>2.9536843189876025E-2</v>
      </c>
      <c r="Q47" s="2">
        <f t="shared" si="6"/>
        <v>2306680</v>
      </c>
      <c r="R47" s="6">
        <f t="shared" si="7"/>
        <v>2360485</v>
      </c>
      <c r="S47" s="2">
        <f t="shared" si="8"/>
        <v>2534694</v>
      </c>
      <c r="U47" s="7">
        <f t="shared" si="9"/>
        <v>8.3277113529285976E-2</v>
      </c>
    </row>
    <row r="48" spans="1:21" x14ac:dyDescent="0.25">
      <c r="A48" s="1">
        <v>44378</v>
      </c>
      <c r="B48" t="s">
        <v>38</v>
      </c>
      <c r="C48" s="2">
        <v>199188</v>
      </c>
      <c r="D48" s="2">
        <v>1073372</v>
      </c>
      <c r="E48" s="2">
        <v>694133</v>
      </c>
      <c r="F48" s="6">
        <f t="shared" si="5"/>
        <v>1966693</v>
      </c>
      <c r="G48" s="2">
        <v>258797</v>
      </c>
      <c r="H48" s="2">
        <v>183987</v>
      </c>
      <c r="I48" s="2">
        <v>0</v>
      </c>
      <c r="J48" s="2">
        <v>212719</v>
      </c>
      <c r="K48" s="2">
        <v>16553</v>
      </c>
      <c r="L48" s="2">
        <v>0</v>
      </c>
      <c r="M48" s="2">
        <f>6941+22355+11777</f>
        <v>41073</v>
      </c>
      <c r="N48" s="2">
        <f>6354+4198+531</f>
        <v>11083</v>
      </c>
      <c r="O48" s="5">
        <f t="shared" si="10"/>
        <v>2.0884296633994222E-2</v>
      </c>
      <c r="P48" s="4">
        <f t="shared" si="11"/>
        <v>2.5030263062802632E-2</v>
      </c>
      <c r="Q48" s="2">
        <f t="shared" si="6"/>
        <v>2409477</v>
      </c>
      <c r="R48" s="6">
        <f t="shared" si="7"/>
        <v>2461633</v>
      </c>
      <c r="S48" s="2">
        <f t="shared" si="8"/>
        <v>2690905</v>
      </c>
      <c r="U48" s="7">
        <f t="shared" si="9"/>
        <v>9.8433426672439192E-2</v>
      </c>
    </row>
    <row r="49" spans="1:22" x14ac:dyDescent="0.25">
      <c r="A49" s="1">
        <v>44470</v>
      </c>
      <c r="B49" t="s">
        <v>39</v>
      </c>
      <c r="C49" s="2">
        <v>186993</v>
      </c>
      <c r="D49" s="2">
        <f>1009610+71148</f>
        <v>1080758</v>
      </c>
      <c r="E49" s="2">
        <v>745271</v>
      </c>
      <c r="F49" s="6">
        <f t="shared" si="5"/>
        <v>2013022</v>
      </c>
      <c r="G49" s="2">
        <v>242081</v>
      </c>
      <c r="H49" s="2">
        <v>205795</v>
      </c>
      <c r="I49" s="2">
        <v>0</v>
      </c>
      <c r="J49" s="2">
        <f>94454</f>
        <v>94454</v>
      </c>
      <c r="K49" s="2">
        <v>12558</v>
      </c>
      <c r="L49" s="2">
        <v>0</v>
      </c>
      <c r="M49" s="2">
        <f>13650+71148+18665</f>
        <v>103463</v>
      </c>
      <c r="N49" s="2">
        <f>17904+5302</f>
        <v>23206</v>
      </c>
      <c r="O49" s="5">
        <f t="shared" si="10"/>
        <v>5.1396855076596283E-2</v>
      </c>
      <c r="P49" s="4">
        <f t="shared" si="11"/>
        <v>5.1813448365172501E-2</v>
      </c>
      <c r="Q49" s="2">
        <f t="shared" si="6"/>
        <v>2460898</v>
      </c>
      <c r="R49" s="6">
        <f t="shared" si="7"/>
        <v>2587567</v>
      </c>
      <c r="S49" s="2">
        <f t="shared" si="8"/>
        <v>2694579</v>
      </c>
      <c r="U49" s="7">
        <f t="shared" si="9"/>
        <v>8.2062170008747187E-2</v>
      </c>
    </row>
    <row r="50" spans="1:22" x14ac:dyDescent="0.25">
      <c r="A50" s="1">
        <v>44562</v>
      </c>
      <c r="B50" t="s">
        <v>40</v>
      </c>
      <c r="C50" s="2">
        <v>213075</v>
      </c>
      <c r="D50" s="2">
        <f>966223+136870</f>
        <v>1103093</v>
      </c>
      <c r="E50" s="2">
        <v>707312</v>
      </c>
      <c r="F50" s="6">
        <f t="shared" si="5"/>
        <v>2023480</v>
      </c>
      <c r="G50" s="2">
        <v>286996</v>
      </c>
      <c r="H50" s="2">
        <v>209529</v>
      </c>
      <c r="I50" s="2">
        <v>0</v>
      </c>
      <c r="J50" s="2">
        <v>111804</v>
      </c>
      <c r="K50" s="2">
        <v>10894</v>
      </c>
      <c r="L50" s="2">
        <v>0</v>
      </c>
      <c r="M50" s="2">
        <f>9520+137051+819</f>
        <v>147390</v>
      </c>
      <c r="N50" s="2">
        <f>11985+364</f>
        <v>12349</v>
      </c>
      <c r="O50" s="5">
        <f t="shared" si="10"/>
        <v>7.2839860043094076E-2</v>
      </c>
      <c r="P50" s="4">
        <f t="shared" si="11"/>
        <v>2.4870852424349228E-2</v>
      </c>
      <c r="Q50" s="2">
        <f t="shared" si="6"/>
        <v>2520005</v>
      </c>
      <c r="R50" s="6">
        <f t="shared" si="7"/>
        <v>2679744</v>
      </c>
      <c r="S50" s="2">
        <f t="shared" si="8"/>
        <v>2802442</v>
      </c>
      <c r="U50" s="7">
        <f t="shared" si="9"/>
        <v>9.6895136455990877E-2</v>
      </c>
    </row>
    <row r="51" spans="1:22" x14ac:dyDescent="0.25">
      <c r="A51" s="1">
        <v>44652</v>
      </c>
      <c r="B51" t="s">
        <v>41</v>
      </c>
      <c r="C51" s="2">
        <v>189192</v>
      </c>
      <c r="D51" s="2">
        <f>920223+119174</f>
        <v>1039397</v>
      </c>
      <c r="E51" s="2">
        <v>718325</v>
      </c>
      <c r="F51" s="6">
        <f t="shared" si="5"/>
        <v>1946914</v>
      </c>
      <c r="G51" s="2">
        <v>269833</v>
      </c>
      <c r="H51" s="2">
        <v>166583</v>
      </c>
      <c r="I51" s="2">
        <v>0</v>
      </c>
      <c r="J51" s="2">
        <v>63497</v>
      </c>
      <c r="K51" s="2">
        <v>10691</v>
      </c>
      <c r="L51" s="2">
        <v>120</v>
      </c>
      <c r="M51" s="2">
        <f>21153+119174+18679</f>
        <v>159006</v>
      </c>
      <c r="N51" s="2">
        <f>8617+1002</f>
        <v>9619</v>
      </c>
      <c r="O51" s="5">
        <f t="shared" ref="O51" si="12">M51/(SUM(C51:E51))</f>
        <v>8.1670787718409757E-2</v>
      </c>
      <c r="P51" s="4">
        <f t="shared" ref="P51" si="13">N51/SUM(G51:H51)</f>
        <v>2.204089675905558E-2</v>
      </c>
      <c r="Q51" s="2">
        <f t="shared" si="6"/>
        <v>2383330</v>
      </c>
      <c r="R51" s="6">
        <f t="shared" si="7"/>
        <v>2551955</v>
      </c>
      <c r="S51" s="2">
        <f t="shared" si="8"/>
        <v>2626143</v>
      </c>
      <c r="U51" s="7">
        <f t="shared" si="9"/>
        <v>8.838894150090075E-2</v>
      </c>
    </row>
    <row r="52" spans="1:22" x14ac:dyDescent="0.25">
      <c r="A52" s="1">
        <v>44743</v>
      </c>
      <c r="B52" t="s">
        <v>42</v>
      </c>
      <c r="C52" s="2">
        <v>205451</v>
      </c>
      <c r="D52" s="2">
        <f>986058+144219</f>
        <v>1130277</v>
      </c>
      <c r="E52" s="2">
        <v>835812</v>
      </c>
      <c r="F52" s="6">
        <f t="shared" si="5"/>
        <v>2171540</v>
      </c>
      <c r="G52" s="2">
        <v>298085</v>
      </c>
      <c r="H52" s="2">
        <v>161186</v>
      </c>
      <c r="I52" s="2">
        <v>500</v>
      </c>
      <c r="J52" s="2">
        <v>118376</v>
      </c>
      <c r="K52" s="2">
        <v>8903</v>
      </c>
      <c r="L52" s="2">
        <v>0</v>
      </c>
      <c r="M52" s="2">
        <f>8793+144219+30462</f>
        <v>183474</v>
      </c>
      <c r="N52" s="2">
        <f>5718+3583</f>
        <v>9301</v>
      </c>
      <c r="O52" s="5">
        <f t="shared" ref="O52" si="14">M52/(SUM(C52:E52))</f>
        <v>8.4490269578271646E-2</v>
      </c>
      <c r="P52" s="4">
        <f t="shared" ref="P52" si="15">N52/SUM(G52:H52)</f>
        <v>2.0251659695473913E-2</v>
      </c>
      <c r="Q52" s="2">
        <f t="shared" si="6"/>
        <v>2630811</v>
      </c>
      <c r="R52" s="6">
        <f t="shared" si="7"/>
        <v>2823586</v>
      </c>
      <c r="S52" s="2">
        <f t="shared" si="8"/>
        <v>2951365</v>
      </c>
      <c r="U52" s="7">
        <f t="shared" si="9"/>
        <v>0.105595546467482</v>
      </c>
    </row>
    <row r="53" spans="1:22" x14ac:dyDescent="0.25">
      <c r="A53" s="1">
        <v>44835</v>
      </c>
      <c r="B53" t="s">
        <v>43</v>
      </c>
      <c r="C53" s="2">
        <f>282682+6474</f>
        <v>289156</v>
      </c>
      <c r="D53" s="2">
        <v>1022036</v>
      </c>
      <c r="E53" s="2">
        <v>841247</v>
      </c>
      <c r="F53" s="6">
        <f t="shared" si="5"/>
        <v>2152439</v>
      </c>
      <c r="G53" s="2">
        <v>297388</v>
      </c>
      <c r="H53" s="2">
        <v>178222</v>
      </c>
      <c r="I53" s="2">
        <v>1000</v>
      </c>
      <c r="J53" s="2">
        <v>34412</v>
      </c>
      <c r="K53" s="2">
        <v>13036</v>
      </c>
      <c r="L53" s="2">
        <v>27</v>
      </c>
      <c r="M53" s="2">
        <f>6474+234465+20140</f>
        <v>261079</v>
      </c>
      <c r="N53" s="2">
        <f>6533+1914</f>
        <v>8447</v>
      </c>
      <c r="O53" s="5">
        <f>M53/(SUM(C53:E53))</f>
        <v>0.12129449429228889</v>
      </c>
      <c r="P53" s="4">
        <f>N53/SUM(G53:H53)</f>
        <v>1.7760349866487248E-2</v>
      </c>
      <c r="Q53" s="2">
        <f t="shared" si="6"/>
        <v>2628049</v>
      </c>
      <c r="R53" s="6">
        <f t="shared" si="7"/>
        <v>2897575</v>
      </c>
      <c r="S53" s="2">
        <f t="shared" si="8"/>
        <v>2946023</v>
      </c>
      <c r="U53" s="7">
        <f t="shared" si="9"/>
        <v>0.10350835685939995</v>
      </c>
    </row>
    <row r="54" spans="1:22" x14ac:dyDescent="0.25">
      <c r="A54" s="1">
        <v>44927</v>
      </c>
      <c r="B54" t="s">
        <v>44</v>
      </c>
      <c r="C54" s="2">
        <v>221254</v>
      </c>
      <c r="D54" s="2">
        <v>984034</v>
      </c>
      <c r="E54" s="2">
        <v>809871</v>
      </c>
      <c r="F54" s="6">
        <f t="shared" si="5"/>
        <v>2015159</v>
      </c>
      <c r="G54" s="2">
        <v>528137</v>
      </c>
      <c r="H54" s="2">
        <v>210236</v>
      </c>
      <c r="I54" s="2">
        <v>0</v>
      </c>
      <c r="J54" s="2">
        <v>86088</v>
      </c>
      <c r="K54" s="2">
        <v>13178</v>
      </c>
      <c r="L54" s="2">
        <v>80</v>
      </c>
      <c r="M54" s="2">
        <f>1644+125982+10626</f>
        <v>138252</v>
      </c>
      <c r="N54" s="2">
        <f>8554+2400</f>
        <v>10954</v>
      </c>
      <c r="O54" s="5">
        <f t="shared" ref="O54" si="16">M54/(SUM(C54:E54))</f>
        <v>6.8606000816808996E-2</v>
      </c>
      <c r="P54" s="4">
        <f>N54/SUM(G54:H54)</f>
        <v>1.4835320359763968E-2</v>
      </c>
      <c r="Q54" s="2">
        <f t="shared" si="6"/>
        <v>2753532</v>
      </c>
      <c r="R54" s="6">
        <f t="shared" si="7"/>
        <v>2902738</v>
      </c>
      <c r="S54" s="2">
        <f t="shared" si="8"/>
        <v>3002004</v>
      </c>
      <c r="U54" s="7">
        <f t="shared" si="9"/>
        <v>7.8378976177246928E-2</v>
      </c>
    </row>
    <row r="55" spans="1:22" x14ac:dyDescent="0.25">
      <c r="A55" s="1">
        <v>45017</v>
      </c>
      <c r="B55" t="s">
        <v>45</v>
      </c>
      <c r="C55" s="2">
        <v>220777</v>
      </c>
      <c r="D55" s="2">
        <v>906368</v>
      </c>
      <c r="E55" s="2">
        <v>847189</v>
      </c>
      <c r="F55" s="6">
        <f t="shared" si="5"/>
        <v>1974334</v>
      </c>
      <c r="G55" s="2">
        <v>253748</v>
      </c>
      <c r="H55" s="2">
        <v>151124</v>
      </c>
      <c r="I55" s="2">
        <v>0</v>
      </c>
      <c r="J55" s="2">
        <v>179804</v>
      </c>
      <c r="K55" s="2">
        <v>13244</v>
      </c>
      <c r="L55" s="2">
        <v>0</v>
      </c>
      <c r="M55" s="2">
        <f>3039+144970+25487</f>
        <v>173496</v>
      </c>
      <c r="N55" s="2">
        <f>10028+2300</f>
        <v>12328</v>
      </c>
      <c r="O55" s="5">
        <f t="shared" ref="O55" si="17">M55/(SUM(C55:E55))</f>
        <v>8.7875708973253766E-2</v>
      </c>
      <c r="P55" s="4">
        <f>N55/SUM(G55:H55)</f>
        <v>3.0449129601454288E-2</v>
      </c>
      <c r="Q55" s="2">
        <f t="shared" si="6"/>
        <v>2379206</v>
      </c>
      <c r="R55" s="6">
        <f t="shared" ref="R55:R60" si="18">SUM(M55:N55,Q55)</f>
        <v>2565030</v>
      </c>
      <c r="S55" s="2">
        <f t="shared" si="8"/>
        <v>2758078</v>
      </c>
      <c r="U55" s="7">
        <f t="shared" si="9"/>
        <v>0.13256622909141802</v>
      </c>
    </row>
    <row r="56" spans="1:22" x14ac:dyDescent="0.25">
      <c r="A56" s="1">
        <v>45108</v>
      </c>
      <c r="B56" t="s">
        <v>46</v>
      </c>
      <c r="C56" s="2">
        <v>186803</v>
      </c>
      <c r="D56" s="2">
        <v>810553</v>
      </c>
      <c r="E56" s="2">
        <v>790195</v>
      </c>
      <c r="F56" s="6">
        <f t="shared" si="5"/>
        <v>1787551</v>
      </c>
      <c r="G56" s="2">
        <v>234690</v>
      </c>
      <c r="H56" s="2">
        <v>144452</v>
      </c>
      <c r="I56" s="2">
        <v>250</v>
      </c>
      <c r="J56" s="2">
        <v>204418</v>
      </c>
      <c r="K56" s="2">
        <v>11317</v>
      </c>
      <c r="L56" s="2">
        <v>0</v>
      </c>
      <c r="M56" s="2">
        <v>167906</v>
      </c>
      <c r="N56" s="2">
        <v>15343</v>
      </c>
      <c r="O56" s="5">
        <f>M56/(SUM(C56:E56))</f>
        <v>9.3930746591286071E-2</v>
      </c>
      <c r="P56" s="4">
        <f>N56/SUM(G56:H56)</f>
        <v>4.0467687568246195E-2</v>
      </c>
      <c r="Q56" s="2">
        <f t="shared" si="6"/>
        <v>2166693</v>
      </c>
      <c r="R56" s="6">
        <f t="shared" si="18"/>
        <v>2349942</v>
      </c>
      <c r="S56" s="2">
        <f t="shared" si="8"/>
        <v>2565927</v>
      </c>
      <c r="U56" s="7">
        <f t="shared" si="9"/>
        <v>0.15118006085130248</v>
      </c>
    </row>
    <row r="57" spans="1:22" x14ac:dyDescent="0.25">
      <c r="A57" s="1">
        <v>45200</v>
      </c>
      <c r="B57" t="s">
        <v>47</v>
      </c>
      <c r="C57" s="2">
        <v>166289</v>
      </c>
      <c r="D57" s="2">
        <v>681573</v>
      </c>
      <c r="E57" s="2">
        <v>643218</v>
      </c>
      <c r="F57" s="2">
        <f t="shared" si="5"/>
        <v>1491080</v>
      </c>
      <c r="G57" s="2">
        <v>213408</v>
      </c>
      <c r="H57" s="2">
        <v>148177</v>
      </c>
      <c r="I57" s="2">
        <v>500</v>
      </c>
      <c r="J57" s="2">
        <v>148933</v>
      </c>
      <c r="K57" s="2">
        <v>13114</v>
      </c>
      <c r="L57" s="2">
        <v>0</v>
      </c>
      <c r="M57" s="2">
        <f>21974+185309+9704</f>
        <v>216987</v>
      </c>
      <c r="N57" s="2">
        <f>13469+2151</f>
        <v>15620</v>
      </c>
      <c r="O57" s="5">
        <f t="shared" ref="O57:O60" si="19">M57/(SUM(C57:E57))</f>
        <v>0.14552337902728224</v>
      </c>
      <c r="P57" s="4">
        <f t="shared" ref="P57:P60" si="20">N57/SUM(G57:H57)</f>
        <v>4.3198694636115989E-2</v>
      </c>
      <c r="Q57" s="2">
        <f t="shared" si="6"/>
        <v>1852665</v>
      </c>
      <c r="R57" s="2">
        <f t="shared" si="18"/>
        <v>2085272</v>
      </c>
      <c r="S57" s="2">
        <f t="shared" si="8"/>
        <v>2247819</v>
      </c>
      <c r="U57" s="7">
        <f t="shared" si="9"/>
        <v>0.16996030374331741</v>
      </c>
    </row>
    <row r="58" spans="1:22" x14ac:dyDescent="0.25">
      <c r="A58" s="1">
        <v>45292</v>
      </c>
      <c r="B58" t="s">
        <v>48</v>
      </c>
      <c r="C58" s="2">
        <v>176797</v>
      </c>
      <c r="D58" s="2">
        <v>680782</v>
      </c>
      <c r="E58" s="2">
        <v>818028</v>
      </c>
      <c r="F58" s="2">
        <f t="shared" si="5"/>
        <v>1675607</v>
      </c>
      <c r="G58" s="2">
        <v>262496</v>
      </c>
      <c r="H58" s="2">
        <v>120913</v>
      </c>
      <c r="I58" s="2">
        <v>0</v>
      </c>
      <c r="J58" s="2">
        <v>215247</v>
      </c>
      <c r="K58" s="2">
        <v>0</v>
      </c>
      <c r="L58" s="2">
        <v>0</v>
      </c>
      <c r="M58" s="2">
        <f>27263+174301+42761</f>
        <v>244325</v>
      </c>
      <c r="N58" s="2">
        <f>13180+5129</f>
        <v>18309</v>
      </c>
      <c r="O58" s="5">
        <f t="shared" si="19"/>
        <v>0.14581283081295315</v>
      </c>
      <c r="P58" s="4">
        <f t="shared" si="20"/>
        <v>4.7753182632645559E-2</v>
      </c>
      <c r="Q58" s="2">
        <f t="shared" ref="Q58:Q66" si="21">SUM(C58:E58,G58:H58)</f>
        <v>2059016</v>
      </c>
      <c r="R58" s="2">
        <f t="shared" si="18"/>
        <v>2321650</v>
      </c>
      <c r="S58" s="2">
        <f t="shared" si="8"/>
        <v>2536897</v>
      </c>
      <c r="U58" s="7">
        <f t="shared" si="9"/>
        <v>0.18837225161289559</v>
      </c>
    </row>
    <row r="59" spans="1:22" x14ac:dyDescent="0.25">
      <c r="A59" s="1">
        <v>45383</v>
      </c>
      <c r="B59" t="s">
        <v>49</v>
      </c>
      <c r="C59" s="2">
        <v>169953</v>
      </c>
      <c r="D59" s="2">
        <v>747300</v>
      </c>
      <c r="E59" s="2">
        <v>825125</v>
      </c>
      <c r="F59" s="2">
        <f t="shared" ref="F59:F66" si="22">SUM(C59:E59)</f>
        <v>1742378</v>
      </c>
      <c r="G59" s="2">
        <v>260839</v>
      </c>
      <c r="H59" s="2">
        <v>108428</v>
      </c>
      <c r="I59" s="2">
        <v>950</v>
      </c>
      <c r="J59" s="2">
        <v>242931</v>
      </c>
      <c r="K59" s="2">
        <v>0</v>
      </c>
      <c r="L59" s="2">
        <v>0</v>
      </c>
      <c r="M59" s="2">
        <f>34276+158911+33371</f>
        <v>226558</v>
      </c>
      <c r="N59" s="2">
        <f>4351+3184</f>
        <v>7535</v>
      </c>
      <c r="O59" s="5">
        <f t="shared" si="19"/>
        <v>0.13002804213551825</v>
      </c>
      <c r="P59" s="4">
        <f t="shared" si="20"/>
        <v>2.0405289397644522E-2</v>
      </c>
      <c r="Q59" s="2">
        <f t="shared" si="21"/>
        <v>2111645</v>
      </c>
      <c r="R59" s="2">
        <f t="shared" si="18"/>
        <v>2345738</v>
      </c>
      <c r="S59" s="2">
        <f t="shared" si="8"/>
        <v>2589619</v>
      </c>
      <c r="U59" s="7">
        <f t="shared" si="9"/>
        <v>0.18457309743247946</v>
      </c>
    </row>
    <row r="60" spans="1:22" x14ac:dyDescent="0.25">
      <c r="A60" s="1">
        <v>45474</v>
      </c>
      <c r="B60" t="s">
        <v>50</v>
      </c>
      <c r="C60" s="2">
        <v>207869</v>
      </c>
      <c r="D60" s="2">
        <v>837905</v>
      </c>
      <c r="E60" s="2">
        <v>906737</v>
      </c>
      <c r="F60" s="2">
        <f t="shared" si="22"/>
        <v>1952511</v>
      </c>
      <c r="G60" s="2">
        <v>228411</v>
      </c>
      <c r="H60" s="2">
        <v>106341</v>
      </c>
      <c r="I60" s="2">
        <v>0</v>
      </c>
      <c r="J60" s="2">
        <v>220120</v>
      </c>
      <c r="K60" s="2">
        <v>14559</v>
      </c>
      <c r="L60" s="2">
        <v>0</v>
      </c>
      <c r="M60" s="2">
        <f>21261+52255+51686</f>
        <v>125202</v>
      </c>
      <c r="N60" s="2">
        <f>10006+1967</f>
        <v>11973</v>
      </c>
      <c r="O60" s="5">
        <f t="shared" si="19"/>
        <v>6.4123582402352663E-2</v>
      </c>
      <c r="P60" s="4">
        <f t="shared" si="20"/>
        <v>3.5766776598795527E-2</v>
      </c>
      <c r="Q60" s="2">
        <f t="shared" si="21"/>
        <v>2287263</v>
      </c>
      <c r="R60" s="2">
        <f t="shared" si="18"/>
        <v>2424438</v>
      </c>
      <c r="S60" s="2">
        <f t="shared" si="8"/>
        <v>2659117</v>
      </c>
      <c r="U60" s="7">
        <f t="shared" si="9"/>
        <v>0.13436603203243783</v>
      </c>
    </row>
    <row r="61" spans="1:22" x14ac:dyDescent="0.25">
      <c r="A61" s="1">
        <v>45566</v>
      </c>
      <c r="B61" t="s">
        <v>51</v>
      </c>
      <c r="C61" s="2">
        <v>193567</v>
      </c>
      <c r="D61" s="2">
        <v>810831</v>
      </c>
      <c r="E61" s="2">
        <v>780437</v>
      </c>
      <c r="F61" s="2">
        <f t="shared" si="22"/>
        <v>1784835</v>
      </c>
      <c r="G61" s="2">
        <v>275977</v>
      </c>
      <c r="H61" s="2">
        <v>119926</v>
      </c>
      <c r="I61" s="2">
        <v>0</v>
      </c>
      <c r="J61" s="2">
        <v>263068</v>
      </c>
      <c r="K61" s="2">
        <v>16239</v>
      </c>
      <c r="L61" s="2">
        <v>0</v>
      </c>
      <c r="M61" s="2">
        <f>12613+53759+36209</f>
        <v>102581</v>
      </c>
      <c r="N61" s="2">
        <f>8790+6830</f>
        <v>15620</v>
      </c>
      <c r="O61" s="5">
        <f t="shared" ref="O61" si="23">M61/(SUM(C61:E61))</f>
        <v>5.7473660030198867E-2</v>
      </c>
      <c r="P61" s="4">
        <f t="shared" ref="P61" si="24">N61/SUM(G61:H61)</f>
        <v>3.9454108708446262E-2</v>
      </c>
      <c r="Q61" s="2">
        <f t="shared" si="21"/>
        <v>2180738</v>
      </c>
      <c r="R61" s="2">
        <f t="shared" ref="R61:R66" si="25">SUM(M61:N61,Q61)</f>
        <v>2298939</v>
      </c>
      <c r="S61" s="2">
        <f t="shared" ref="S61:S66" si="26">SUM(I61:K61,Q61,M61:N61)</f>
        <v>2578246</v>
      </c>
      <c r="U61" s="7">
        <f t="shared" si="9"/>
        <v>0.14787921711116783</v>
      </c>
    </row>
    <row r="62" spans="1:22" x14ac:dyDescent="0.25">
      <c r="A62" s="1">
        <v>45658</v>
      </c>
      <c r="B62" t="s">
        <v>19</v>
      </c>
      <c r="C62" s="2">
        <v>187031</v>
      </c>
      <c r="D62" s="2">
        <v>789218</v>
      </c>
      <c r="E62" s="2">
        <v>829197</v>
      </c>
      <c r="F62" s="2">
        <f t="shared" si="22"/>
        <v>1805446</v>
      </c>
      <c r="G62" s="2">
        <v>295127</v>
      </c>
      <c r="H62" s="2">
        <v>97944</v>
      </c>
      <c r="I62" s="2">
        <v>5490</v>
      </c>
      <c r="J62" s="2">
        <v>230129</v>
      </c>
      <c r="K62" s="2">
        <v>23629</v>
      </c>
      <c r="L62" s="2">
        <v>0</v>
      </c>
      <c r="M62" s="2">
        <f>8490+49263+28271</f>
        <v>86024</v>
      </c>
      <c r="N62" s="2">
        <f>15640+2373</f>
        <v>18013</v>
      </c>
      <c r="O62" s="5">
        <f t="shared" ref="O62" si="27">M62/(SUM(C62:E62))</f>
        <v>4.7646952608939842E-2</v>
      </c>
      <c r="P62" s="4">
        <f t="shared" ref="P62" si="28">N62/SUM(G62:H62)</f>
        <v>4.5826326541515403E-2</v>
      </c>
      <c r="Q62" s="2">
        <f t="shared" si="21"/>
        <v>2198517</v>
      </c>
      <c r="R62" s="2">
        <f t="shared" si="25"/>
        <v>2302554</v>
      </c>
      <c r="S62" s="2">
        <f t="shared" si="26"/>
        <v>2561802</v>
      </c>
      <c r="U62" s="7">
        <f t="shared" si="9"/>
        <v>0.13258479773222132</v>
      </c>
    </row>
    <row r="63" spans="1:22" x14ac:dyDescent="0.25">
      <c r="A63" s="1">
        <v>45748</v>
      </c>
      <c r="B63" t="s">
        <v>18</v>
      </c>
      <c r="C63" s="2">
        <v>225992</v>
      </c>
      <c r="D63" s="2">
        <v>679442</v>
      </c>
      <c r="E63" s="2">
        <v>914672</v>
      </c>
      <c r="F63" s="2">
        <f t="shared" si="22"/>
        <v>1820106</v>
      </c>
      <c r="G63" s="2">
        <v>308292</v>
      </c>
      <c r="H63" s="2">
        <v>99585</v>
      </c>
      <c r="I63" s="2">
        <v>0</v>
      </c>
      <c r="J63" s="2">
        <v>200662</v>
      </c>
      <c r="K63" s="2">
        <v>13863</v>
      </c>
      <c r="L63" s="2">
        <v>0</v>
      </c>
      <c r="M63" s="2">
        <f>24573+68271+38490</f>
        <v>131334</v>
      </c>
      <c r="N63" s="2">
        <f>31663+2223</f>
        <v>33886</v>
      </c>
      <c r="O63" s="5">
        <f t="shared" ref="O63:O64" si="29">M63/(SUM(C63:E63))</f>
        <v>7.2157335891426103E-2</v>
      </c>
      <c r="P63" s="4">
        <f t="shared" ref="P63" si="30">N63/SUM(G63:H63)</f>
        <v>8.30789674338097E-2</v>
      </c>
      <c r="Q63" s="2">
        <f t="shared" si="21"/>
        <v>2227983</v>
      </c>
      <c r="R63" s="2">
        <f t="shared" si="25"/>
        <v>2393203</v>
      </c>
      <c r="S63" s="2">
        <f t="shared" si="26"/>
        <v>2607728</v>
      </c>
      <c r="U63" s="7">
        <f t="shared" si="9"/>
        <v>0.14030681113981214</v>
      </c>
    </row>
    <row r="64" spans="1:22" x14ac:dyDescent="0.25">
      <c r="A64" s="1">
        <v>45839</v>
      </c>
      <c r="B64" t="s">
        <v>52</v>
      </c>
      <c r="C64" s="2">
        <v>232720</v>
      </c>
      <c r="D64" s="2">
        <v>635638</v>
      </c>
      <c r="E64" s="2">
        <v>872077</v>
      </c>
      <c r="F64" s="2">
        <f t="shared" si="22"/>
        <v>1740435</v>
      </c>
      <c r="G64" s="2">
        <v>311235</v>
      </c>
      <c r="H64" s="2">
        <v>75938</v>
      </c>
      <c r="I64" s="2">
        <v>0</v>
      </c>
      <c r="J64" s="2">
        <v>270254</v>
      </c>
      <c r="K64" s="2">
        <v>14325</v>
      </c>
      <c r="L64" s="2">
        <v>0</v>
      </c>
      <c r="M64" s="2">
        <f>2877+121663+23684</f>
        <v>148224</v>
      </c>
      <c r="N64" s="2">
        <f>21838+2953</f>
        <v>24791</v>
      </c>
      <c r="O64" s="5">
        <f t="shared" si="29"/>
        <v>8.5164915667634816E-2</v>
      </c>
      <c r="P64" s="4">
        <f>N64/SUM(G64:H64)</f>
        <v>6.4030807933404446E-2</v>
      </c>
      <c r="Q64" s="2">
        <f t="shared" si="21"/>
        <v>2127608</v>
      </c>
      <c r="R64" s="2">
        <f t="shared" si="25"/>
        <v>2300623</v>
      </c>
      <c r="S64" s="2">
        <f t="shared" si="26"/>
        <v>2585202</v>
      </c>
      <c r="U64" s="7">
        <f>SUM(I64,J64,M64,N64)/S64</f>
        <v>0.17146397070712463</v>
      </c>
      <c r="V64" s="7"/>
    </row>
    <row r="65" spans="1:21" x14ac:dyDescent="0.25">
      <c r="A65" s="1">
        <v>45931</v>
      </c>
      <c r="B65" t="s">
        <v>54</v>
      </c>
      <c r="C65" s="2">
        <v>219039</v>
      </c>
      <c r="D65" s="2">
        <v>745786</v>
      </c>
      <c r="E65" s="2">
        <v>804962</v>
      </c>
      <c r="F65" s="2">
        <f t="shared" si="22"/>
        <v>1769787</v>
      </c>
      <c r="G65" s="2">
        <v>338962</v>
      </c>
      <c r="H65" s="2">
        <v>63819</v>
      </c>
      <c r="I65" s="2">
        <v>0</v>
      </c>
      <c r="J65" s="2">
        <v>192433</v>
      </c>
      <c r="K65" s="2">
        <v>13045</v>
      </c>
      <c r="L65" s="2">
        <v>0</v>
      </c>
      <c r="M65" s="2">
        <f>25810+97525+7528</f>
        <v>130863</v>
      </c>
      <c r="N65" s="2">
        <f>24081+6990</f>
        <v>31071</v>
      </c>
      <c r="O65" s="5">
        <f t="shared" ref="O65" si="31">M65/(SUM(C65:E65))</f>
        <v>7.3942796506020217E-2</v>
      </c>
      <c r="P65" s="4">
        <f>N65/SUM(G65:H65)</f>
        <v>7.714117597404048E-2</v>
      </c>
      <c r="Q65" s="2">
        <f t="shared" si="21"/>
        <v>2172568</v>
      </c>
      <c r="R65" s="2">
        <f t="shared" si="25"/>
        <v>2334502</v>
      </c>
      <c r="S65" s="2">
        <f t="shared" si="26"/>
        <v>2539980</v>
      </c>
      <c r="U65" s="7">
        <f>SUM(I65,J65,M65,N65)/S65</f>
        <v>0.13951566547768093</v>
      </c>
    </row>
    <row r="66" spans="1:21" x14ac:dyDescent="0.25">
      <c r="A66" s="1">
        <v>46023</v>
      </c>
      <c r="B66" t="s">
        <v>55</v>
      </c>
      <c r="C66" s="2">
        <v>162142</v>
      </c>
      <c r="D66" s="2">
        <v>439804</v>
      </c>
      <c r="E66" s="2">
        <v>619010</v>
      </c>
      <c r="F66" s="2">
        <f t="shared" si="22"/>
        <v>1220956</v>
      </c>
      <c r="G66" s="2">
        <v>273696</v>
      </c>
      <c r="H66" s="2">
        <v>86821</v>
      </c>
      <c r="I66" s="2">
        <v>0</v>
      </c>
      <c r="J66" s="2">
        <v>267454</v>
      </c>
      <c r="K66" s="2">
        <v>16488</v>
      </c>
      <c r="L66" s="2">
        <v>0</v>
      </c>
      <c r="M66" s="2">
        <f>16796+63210+4856</f>
        <v>84862</v>
      </c>
      <c r="N66" s="2">
        <f>17843+1925</f>
        <v>19768</v>
      </c>
      <c r="O66" s="5">
        <f t="shared" ref="O66" si="32">M66/(SUM(C66:E66))</f>
        <v>6.9504552170594189E-2</v>
      </c>
      <c r="P66" s="4">
        <f>N66/SUM(G66:H66)</f>
        <v>5.4832365741421349E-2</v>
      </c>
      <c r="Q66" s="2">
        <f t="shared" si="21"/>
        <v>1581473</v>
      </c>
      <c r="R66" s="2">
        <f t="shared" si="25"/>
        <v>1686103</v>
      </c>
      <c r="S66" s="2">
        <f t="shared" si="26"/>
        <v>1970045</v>
      </c>
      <c r="U66" s="7">
        <f>SUM(I66,J66,M66,N66)/S66</f>
        <v>0.18887081259565136</v>
      </c>
    </row>
    <row r="67" spans="1:21" x14ac:dyDescent="0.25">
      <c r="C67" s="7"/>
      <c r="D67" s="7"/>
      <c r="E67" s="7"/>
      <c r="F67" s="7"/>
      <c r="G67" s="7"/>
      <c r="H67" s="7"/>
      <c r="I67" s="2"/>
      <c r="J67" s="2"/>
      <c r="K67" s="2"/>
      <c r="L67" s="2"/>
      <c r="M67" s="2"/>
      <c r="N67" s="2"/>
      <c r="O67" s="5"/>
      <c r="P67" s="4"/>
      <c r="Q67" s="2"/>
      <c r="R67" s="2"/>
      <c r="S67" s="2"/>
    </row>
    <row r="68" spans="1:21" x14ac:dyDescent="0.25">
      <c r="C68" s="7"/>
      <c r="D68" s="7"/>
      <c r="E68" s="7"/>
      <c r="F68" s="7"/>
      <c r="G68" s="7"/>
      <c r="H68" s="7"/>
      <c r="I68" s="2"/>
      <c r="J68" s="2"/>
      <c r="K68" s="2"/>
      <c r="L68" s="2"/>
      <c r="M68" s="2"/>
      <c r="N68" s="2"/>
      <c r="O68" s="5"/>
      <c r="P68" s="4"/>
      <c r="Q68" s="2"/>
      <c r="R68" s="2"/>
      <c r="S68" s="2"/>
    </row>
    <row r="69" spans="1:21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"/>
      <c r="P69" s="4"/>
      <c r="Q69" s="2"/>
      <c r="R69" s="2"/>
      <c r="S69" s="2"/>
    </row>
    <row r="70" spans="1:2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5"/>
      <c r="P70" s="4"/>
      <c r="Q70" s="2"/>
      <c r="R70" s="2"/>
      <c r="S70" s="2"/>
    </row>
    <row r="71" spans="1:21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5"/>
      <c r="P71" s="4"/>
      <c r="Q71" s="2"/>
      <c r="R71" s="2"/>
      <c r="S71" s="2"/>
    </row>
    <row r="72" spans="1:21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5"/>
      <c r="P72" s="4"/>
      <c r="Q72" s="2"/>
      <c r="R72" s="2"/>
      <c r="S72" s="2"/>
    </row>
    <row r="73" spans="1:21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5"/>
      <c r="P73" s="4"/>
      <c r="Q73" s="2"/>
      <c r="R73" s="2"/>
      <c r="S73" s="2"/>
    </row>
    <row r="74" spans="1:21" x14ac:dyDescent="0.25">
      <c r="G74" s="2"/>
      <c r="M74" s="2"/>
    </row>
    <row r="75" spans="1:21" x14ac:dyDescent="0.25">
      <c r="J75" s="2"/>
      <c r="O75" s="2"/>
    </row>
    <row r="76" spans="1:21" x14ac:dyDescent="0.25">
      <c r="C76" s="2"/>
      <c r="D76" s="2"/>
      <c r="E76" s="2"/>
      <c r="F76" s="2"/>
      <c r="G76" s="2"/>
      <c r="H76" s="2"/>
      <c r="J76" s="2"/>
      <c r="K76" s="2"/>
      <c r="M76" s="2"/>
      <c r="O76" s="2"/>
      <c r="P76" s="2"/>
      <c r="Q76" s="2"/>
    </row>
    <row r="77" spans="1:21" x14ac:dyDescent="0.25">
      <c r="C77" s="2"/>
      <c r="D77" s="2"/>
      <c r="E77" s="2"/>
      <c r="F77" s="2"/>
      <c r="G77" s="2"/>
      <c r="H77" s="2"/>
      <c r="J77" s="2"/>
      <c r="K77" s="2"/>
      <c r="M77" s="2"/>
      <c r="O77" s="2"/>
      <c r="P77" s="2"/>
      <c r="Q77" s="2"/>
    </row>
    <row r="78" spans="1:21" x14ac:dyDescent="0.25">
      <c r="C78" s="2"/>
      <c r="D78" s="2"/>
      <c r="E78" s="2"/>
      <c r="F78" s="2"/>
      <c r="G78" s="2"/>
      <c r="H78" s="2"/>
      <c r="J78" s="2"/>
      <c r="K78" s="2"/>
      <c r="M78" s="2"/>
      <c r="O78" s="2"/>
      <c r="P78" s="2"/>
      <c r="Q78" s="2"/>
    </row>
    <row r="79" spans="1:21" x14ac:dyDescent="0.25">
      <c r="C79" s="2"/>
      <c r="D79" s="2"/>
      <c r="E79" s="2"/>
      <c r="F79" s="2"/>
      <c r="G79" s="2"/>
      <c r="H79" s="2"/>
      <c r="J79" s="2"/>
      <c r="K79" s="2"/>
      <c r="M79" s="2"/>
      <c r="O79" s="2"/>
      <c r="P79" s="2"/>
      <c r="Q79" s="2"/>
    </row>
    <row r="80" spans="1:21" x14ac:dyDescent="0.25">
      <c r="C80" s="2"/>
      <c r="D80" s="2"/>
      <c r="E80" s="2"/>
      <c r="F80" s="2"/>
      <c r="G80" s="2"/>
      <c r="H80" s="2"/>
      <c r="J80" s="2"/>
      <c r="K80" s="2"/>
      <c r="M80" s="2"/>
      <c r="O80" s="2"/>
      <c r="P80" s="2"/>
      <c r="Q80" s="2"/>
    </row>
    <row r="81" spans="3:17" x14ac:dyDescent="0.25">
      <c r="C81" s="2"/>
      <c r="D81" s="2"/>
      <c r="E81" s="2"/>
      <c r="F81" s="2"/>
      <c r="G81" s="2"/>
      <c r="H81" s="2"/>
      <c r="J81" s="2"/>
      <c r="K81" s="2"/>
      <c r="M81" s="2"/>
      <c r="O81" s="2"/>
      <c r="P81" s="2"/>
      <c r="Q81" s="2"/>
    </row>
    <row r="82" spans="3:17" x14ac:dyDescent="0.25">
      <c r="C82" s="2"/>
      <c r="D82" s="2"/>
      <c r="E82" s="2"/>
      <c r="F82" s="2"/>
      <c r="G82" s="2"/>
      <c r="H82" s="2"/>
      <c r="J82" s="2"/>
      <c r="K82" s="2"/>
      <c r="M82" s="2"/>
      <c r="O82" s="2"/>
      <c r="P82" s="2"/>
      <c r="Q82" s="2"/>
    </row>
    <row r="83" spans="3:17" x14ac:dyDescent="0.25">
      <c r="C83" s="2"/>
      <c r="D83" s="2"/>
      <c r="E83" s="2"/>
      <c r="F83" s="2"/>
      <c r="G83" s="2"/>
      <c r="H83" s="2"/>
      <c r="J83" s="2"/>
      <c r="K83" s="2"/>
      <c r="M83" s="2"/>
      <c r="O83" s="2"/>
      <c r="P83" s="2"/>
      <c r="Q83" s="2"/>
    </row>
    <row r="84" spans="3:17" x14ac:dyDescent="0.25">
      <c r="C84" s="2"/>
      <c r="D84" s="2"/>
      <c r="E84" s="2"/>
      <c r="F84" s="2"/>
      <c r="G84" s="2"/>
      <c r="H84" s="2"/>
      <c r="J84" s="2"/>
      <c r="K84" s="2"/>
      <c r="M84" s="2"/>
      <c r="O84" s="2"/>
      <c r="P84" s="2"/>
      <c r="Q84" s="2"/>
    </row>
    <row r="85" spans="3:17" x14ac:dyDescent="0.25">
      <c r="C85" s="2"/>
      <c r="D85" s="2"/>
      <c r="E85" s="2"/>
      <c r="F85" s="2"/>
      <c r="G85" s="2"/>
      <c r="H85" s="2"/>
      <c r="J85" s="2"/>
      <c r="K85" s="2"/>
      <c r="M85" s="2"/>
      <c r="O85" s="2"/>
      <c r="P85" s="2"/>
      <c r="Q85" s="2"/>
    </row>
    <row r="86" spans="3:17" x14ac:dyDescent="0.25">
      <c r="C86" s="2"/>
      <c r="D86" s="2"/>
      <c r="E86" s="2"/>
      <c r="F86" s="2"/>
      <c r="G86" s="2"/>
      <c r="H86" s="2"/>
      <c r="J86" s="2"/>
      <c r="K86" s="2"/>
      <c r="M86" s="2"/>
      <c r="O86" s="2"/>
      <c r="P86" s="2"/>
      <c r="Q86" s="2"/>
    </row>
    <row r="87" spans="3:17" x14ac:dyDescent="0.25">
      <c r="C87" s="2"/>
      <c r="D87" s="2"/>
      <c r="E87" s="2"/>
      <c r="F87" s="2"/>
      <c r="G87" s="2"/>
      <c r="H87" s="2"/>
      <c r="J87" s="2"/>
      <c r="K87" s="2"/>
      <c r="M87" s="2"/>
      <c r="O87" s="2"/>
      <c r="P87" s="2"/>
      <c r="Q87" s="2"/>
    </row>
    <row r="88" spans="3:17" x14ac:dyDescent="0.25">
      <c r="C88" s="2"/>
      <c r="D88" s="2"/>
      <c r="E88" s="2"/>
      <c r="F88" s="2"/>
      <c r="G88" s="2"/>
      <c r="H88" s="2"/>
      <c r="J88" s="2"/>
      <c r="K88" s="2"/>
      <c r="M88" s="2"/>
      <c r="O88" s="2"/>
      <c r="P88" s="2"/>
      <c r="Q88" s="2"/>
    </row>
    <row r="89" spans="3:17" x14ac:dyDescent="0.25">
      <c r="C89" s="2"/>
      <c r="D89" s="2"/>
      <c r="E89" s="2"/>
      <c r="F89" s="2"/>
      <c r="G89" s="2"/>
      <c r="H89" s="2"/>
      <c r="J89" s="2"/>
      <c r="K89" s="2"/>
      <c r="M89" s="2"/>
      <c r="O89" s="2"/>
      <c r="P89" s="2"/>
      <c r="Q89" s="2"/>
    </row>
    <row r="90" spans="3:17" x14ac:dyDescent="0.25">
      <c r="C90" s="2"/>
      <c r="D90" s="2"/>
      <c r="E90" s="2"/>
      <c r="F90" s="2"/>
      <c r="G90" s="2"/>
      <c r="H90" s="2"/>
      <c r="J90" s="2"/>
      <c r="K90" s="2"/>
      <c r="M90" s="2"/>
      <c r="O90" s="2"/>
      <c r="P90" s="2"/>
      <c r="Q90" s="2"/>
    </row>
    <row r="91" spans="3:17" x14ac:dyDescent="0.25">
      <c r="C91" s="2"/>
      <c r="D91" s="2"/>
      <c r="E91" s="2"/>
      <c r="F91" s="2"/>
      <c r="G91" s="2"/>
      <c r="H91" s="2"/>
      <c r="J91" s="2"/>
      <c r="K91" s="2"/>
      <c r="M91" s="2"/>
      <c r="O91" s="2"/>
      <c r="P91" s="2"/>
      <c r="Q91" s="2"/>
    </row>
    <row r="92" spans="3:17" x14ac:dyDescent="0.25">
      <c r="C92" s="2"/>
      <c r="D92" s="2"/>
      <c r="E92" s="2"/>
      <c r="F92" s="2"/>
      <c r="G92" s="2"/>
      <c r="H92" s="2"/>
      <c r="J92" s="2"/>
      <c r="K92" s="2"/>
      <c r="M92" s="2"/>
      <c r="O92" s="2"/>
      <c r="P92" s="2"/>
      <c r="Q92" s="2"/>
    </row>
    <row r="93" spans="3:17" x14ac:dyDescent="0.25">
      <c r="C93" s="2"/>
      <c r="D93" s="2"/>
      <c r="E93" s="2"/>
      <c r="F93" s="2"/>
      <c r="G93" s="2"/>
      <c r="H93" s="2"/>
      <c r="J93" s="2"/>
      <c r="K93" s="2"/>
      <c r="M93" s="2"/>
      <c r="O93" s="2"/>
      <c r="P93" s="2"/>
      <c r="Q93" s="2"/>
    </row>
    <row r="94" spans="3:17" x14ac:dyDescent="0.25">
      <c r="C94" s="2"/>
      <c r="D94" s="2"/>
      <c r="E94" s="2"/>
      <c r="F94" s="2"/>
      <c r="G94" s="2"/>
      <c r="H94" s="2"/>
      <c r="J94" s="2"/>
      <c r="K94" s="2"/>
      <c r="M94" s="2"/>
      <c r="O94" s="2"/>
      <c r="P94" s="2"/>
      <c r="Q94" s="2"/>
    </row>
    <row r="95" spans="3:17" x14ac:dyDescent="0.25">
      <c r="C95" s="2"/>
      <c r="D95" s="2"/>
      <c r="E95" s="2"/>
      <c r="F95" s="2"/>
      <c r="G95" s="2"/>
      <c r="H95" s="2"/>
      <c r="J95" s="2"/>
      <c r="K95" s="2"/>
      <c r="M95" s="2"/>
      <c r="O95" s="2"/>
      <c r="P95" s="2"/>
      <c r="Q95" s="2"/>
    </row>
    <row r="96" spans="3:17" x14ac:dyDescent="0.25">
      <c r="C96" s="2"/>
      <c r="D96" s="2"/>
      <c r="E96" s="2"/>
      <c r="F96" s="2"/>
      <c r="G96" s="2"/>
      <c r="H96" s="2"/>
      <c r="J96" s="2"/>
      <c r="K96" s="2"/>
      <c r="M96" s="2"/>
      <c r="O96" s="2"/>
      <c r="P96" s="2"/>
      <c r="Q96" s="2"/>
    </row>
    <row r="97" spans="3:17" x14ac:dyDescent="0.25">
      <c r="C97" s="2"/>
      <c r="D97" s="2"/>
      <c r="E97" s="2"/>
      <c r="F97" s="2"/>
      <c r="G97" s="2"/>
      <c r="H97" s="2"/>
      <c r="J97" s="2"/>
      <c r="K97" s="2"/>
      <c r="M97" s="2"/>
      <c r="O97" s="2"/>
      <c r="P97" s="2"/>
      <c r="Q97" s="2"/>
    </row>
    <row r="98" spans="3:17" x14ac:dyDescent="0.25">
      <c r="C98" s="2"/>
      <c r="D98" s="2"/>
      <c r="E98" s="2"/>
      <c r="F98" s="2"/>
      <c r="G98" s="2"/>
      <c r="H98" s="2"/>
      <c r="J98" s="2"/>
      <c r="K98" s="2"/>
      <c r="M98" s="2"/>
      <c r="O98" s="2"/>
      <c r="P98" s="2"/>
      <c r="Q98" s="2"/>
    </row>
    <row r="99" spans="3:17" x14ac:dyDescent="0.25">
      <c r="C99" s="2"/>
      <c r="D99" s="2"/>
      <c r="E99" s="2"/>
      <c r="F99" s="2"/>
      <c r="G99" s="2"/>
      <c r="H99" s="2"/>
      <c r="J99" s="2"/>
      <c r="K99" s="2"/>
      <c r="M99" s="2"/>
      <c r="O99" s="2"/>
      <c r="P99" s="2"/>
      <c r="Q99" s="2"/>
    </row>
    <row r="100" spans="3:17" x14ac:dyDescent="0.25">
      <c r="C100" s="2"/>
      <c r="D100" s="2"/>
      <c r="E100" s="2"/>
      <c r="F100" s="2"/>
      <c r="G100" s="2"/>
      <c r="H100" s="2"/>
      <c r="J100" s="2"/>
      <c r="K100" s="2"/>
      <c r="M100" s="2"/>
      <c r="O100" s="2"/>
      <c r="P100" s="2"/>
      <c r="Q100" s="2"/>
    </row>
    <row r="101" spans="3:17" x14ac:dyDescent="0.25">
      <c r="C101" s="2"/>
      <c r="D101" s="2"/>
      <c r="E101" s="2"/>
      <c r="F101" s="2"/>
      <c r="G101" s="2"/>
      <c r="H101" s="2"/>
      <c r="J101" s="2"/>
      <c r="K101" s="2"/>
      <c r="M101" s="2"/>
      <c r="O101" s="2"/>
      <c r="P101" s="2"/>
      <c r="Q101" s="2"/>
    </row>
    <row r="102" spans="3:17" x14ac:dyDescent="0.25">
      <c r="C102" s="2"/>
      <c r="D102" s="2"/>
      <c r="E102" s="2"/>
      <c r="F102" s="2"/>
      <c r="G102" s="2"/>
      <c r="H102" s="2"/>
      <c r="J102" s="2"/>
      <c r="K102" s="2"/>
      <c r="M102" s="2"/>
      <c r="O102" s="2"/>
      <c r="P102" s="2"/>
      <c r="Q102" s="2"/>
    </row>
    <row r="103" spans="3:17" x14ac:dyDescent="0.25">
      <c r="C103" s="2"/>
      <c r="D103" s="2"/>
      <c r="E103" s="2"/>
      <c r="F103" s="2"/>
      <c r="G103" s="2"/>
      <c r="H103" s="2"/>
      <c r="J103" s="2"/>
      <c r="K103" s="2"/>
      <c r="M103" s="2"/>
      <c r="O103" s="2"/>
      <c r="P103" s="2"/>
      <c r="Q103" s="2"/>
    </row>
    <row r="104" spans="3:17" x14ac:dyDescent="0.25">
      <c r="C104" s="2"/>
      <c r="D104" s="2"/>
      <c r="E104" s="2"/>
      <c r="F104" s="2"/>
      <c r="G104" s="2"/>
      <c r="H104" s="2"/>
      <c r="J104" s="2"/>
      <c r="K104" s="2"/>
      <c r="M104" s="2"/>
      <c r="O104" s="2"/>
      <c r="P104" s="2"/>
      <c r="Q104" s="2"/>
    </row>
    <row r="105" spans="3:17" x14ac:dyDescent="0.25">
      <c r="C105" s="2"/>
      <c r="D105" s="2"/>
      <c r="E105" s="2"/>
      <c r="F105" s="2"/>
      <c r="G105" s="2"/>
      <c r="H105" s="2"/>
      <c r="J105" s="2"/>
      <c r="K105" s="2"/>
      <c r="M105" s="2"/>
      <c r="O105" s="2"/>
      <c r="P105" s="2"/>
      <c r="Q105" s="2"/>
    </row>
    <row r="106" spans="3:17" x14ac:dyDescent="0.25">
      <c r="C106" s="2"/>
      <c r="D106" s="2"/>
      <c r="E106" s="2"/>
      <c r="F106" s="2"/>
      <c r="G106" s="2"/>
      <c r="H106" s="2"/>
      <c r="J106" s="2"/>
      <c r="K106" s="2"/>
      <c r="M106" s="2"/>
      <c r="O106" s="2"/>
      <c r="P106" s="2"/>
      <c r="Q106" s="2"/>
    </row>
    <row r="107" spans="3:17" x14ac:dyDescent="0.25">
      <c r="C107" s="2"/>
      <c r="D107" s="2"/>
      <c r="E107" s="2"/>
      <c r="F107" s="2"/>
      <c r="G107" s="2"/>
      <c r="H107" s="2"/>
      <c r="J107" s="2"/>
      <c r="K107" s="2"/>
      <c r="M107" s="2"/>
      <c r="O107" s="2"/>
      <c r="P107" s="2"/>
      <c r="Q107" s="2"/>
    </row>
    <row r="108" spans="3:17" x14ac:dyDescent="0.25">
      <c r="C108" s="2"/>
      <c r="D108" s="2"/>
      <c r="E108" s="2"/>
      <c r="F108" s="2"/>
      <c r="G108" s="2"/>
      <c r="H108" s="2"/>
      <c r="J108" s="2"/>
      <c r="K108" s="2"/>
      <c r="M108" s="2"/>
      <c r="O108" s="2"/>
      <c r="P108" s="2"/>
      <c r="Q108" s="2"/>
    </row>
    <row r="109" spans="3:17" x14ac:dyDescent="0.25">
      <c r="C109" s="2"/>
      <c r="D109" s="2"/>
      <c r="E109" s="2"/>
      <c r="F109" s="2"/>
      <c r="G109" s="2"/>
      <c r="H109" s="2"/>
      <c r="J109" s="2"/>
      <c r="K109" s="2"/>
      <c r="M109" s="2"/>
      <c r="O109" s="2"/>
      <c r="P109" s="2"/>
      <c r="Q109" s="2"/>
    </row>
    <row r="110" spans="3:17" x14ac:dyDescent="0.25">
      <c r="C110" s="2"/>
      <c r="D110" s="2"/>
      <c r="E110" s="2"/>
      <c r="F110" s="2"/>
      <c r="G110" s="2"/>
      <c r="H110" s="2"/>
      <c r="J110" s="2"/>
      <c r="K110" s="2"/>
      <c r="M110" s="2"/>
      <c r="O110" s="2"/>
      <c r="P110" s="2"/>
      <c r="Q110" s="2"/>
    </row>
    <row r="111" spans="3:17" x14ac:dyDescent="0.25">
      <c r="C111" s="2"/>
      <c r="D111" s="2"/>
      <c r="E111" s="2"/>
      <c r="F111" s="2"/>
      <c r="G111" s="2"/>
      <c r="H111" s="2"/>
      <c r="J111" s="2"/>
      <c r="K111" s="2"/>
      <c r="M111" s="2"/>
      <c r="O111" s="2"/>
      <c r="P111" s="2"/>
      <c r="Q111" s="2"/>
    </row>
    <row r="112" spans="3:17" x14ac:dyDescent="0.25">
      <c r="C112" s="2"/>
      <c r="D112" s="2"/>
      <c r="E112" s="2"/>
      <c r="F112" s="2"/>
      <c r="G112" s="2"/>
      <c r="H112" s="2"/>
      <c r="J112" s="2"/>
      <c r="K112" s="2"/>
      <c r="M112" s="2"/>
      <c r="O112" s="2"/>
      <c r="P112" s="2"/>
      <c r="Q112" s="2"/>
    </row>
    <row r="113" spans="3:17" x14ac:dyDescent="0.25">
      <c r="C113" s="2"/>
      <c r="D113" s="2"/>
      <c r="E113" s="2"/>
      <c r="F113" s="2"/>
      <c r="G113" s="2"/>
      <c r="H113" s="2"/>
      <c r="J113" s="2"/>
      <c r="K113" s="2"/>
      <c r="M113" s="2"/>
      <c r="O113" s="2"/>
      <c r="P113" s="2"/>
      <c r="Q113" s="2"/>
    </row>
    <row r="114" spans="3:17" x14ac:dyDescent="0.25">
      <c r="C114" s="2"/>
      <c r="D114" s="2"/>
      <c r="E114" s="2"/>
      <c r="F114" s="2"/>
      <c r="G114" s="2"/>
      <c r="H114" s="2"/>
      <c r="J114" s="2"/>
      <c r="K114" s="2"/>
      <c r="M114" s="2"/>
      <c r="O114" s="2"/>
      <c r="P114" s="2"/>
      <c r="Q114" s="2"/>
    </row>
    <row r="115" spans="3:17" x14ac:dyDescent="0.25">
      <c r="C115" s="2"/>
      <c r="D115" s="2"/>
      <c r="E115" s="2"/>
      <c r="F115" s="2"/>
      <c r="G115" s="2"/>
      <c r="H115" s="2"/>
      <c r="J115" s="2"/>
      <c r="K115" s="2"/>
      <c r="M115" s="2"/>
      <c r="O115" s="2"/>
      <c r="P115" s="2"/>
      <c r="Q115" s="2"/>
    </row>
    <row r="116" spans="3:17" x14ac:dyDescent="0.25">
      <c r="C116" s="2"/>
      <c r="D116" s="2"/>
      <c r="E116" s="2"/>
      <c r="F116" s="2"/>
      <c r="G116" s="2"/>
      <c r="H116" s="2"/>
      <c r="J116" s="2"/>
      <c r="K116" s="2"/>
      <c r="M116" s="2"/>
      <c r="O116" s="2"/>
      <c r="P116" s="2"/>
      <c r="Q116" s="2"/>
    </row>
    <row r="117" spans="3:17" x14ac:dyDescent="0.25">
      <c r="C117" s="2"/>
      <c r="D117" s="2"/>
      <c r="E117" s="2"/>
      <c r="F117" s="2"/>
      <c r="G117" s="2"/>
      <c r="H117" s="2"/>
      <c r="J117" s="2"/>
      <c r="K117" s="2"/>
      <c r="M117" s="2"/>
      <c r="O117" s="2"/>
      <c r="P117" s="2"/>
      <c r="Q117" s="2"/>
    </row>
    <row r="118" spans="3:17" x14ac:dyDescent="0.25">
      <c r="C118" s="2"/>
      <c r="D118" s="2"/>
      <c r="E118" s="2"/>
      <c r="F118" s="2"/>
      <c r="G118" s="2"/>
      <c r="H118" s="2"/>
      <c r="J118" s="2"/>
      <c r="K118" s="2"/>
      <c r="M118" s="2"/>
      <c r="O118" s="2"/>
      <c r="P118" s="2"/>
      <c r="Q118" s="2"/>
    </row>
    <row r="119" spans="3:17" x14ac:dyDescent="0.25">
      <c r="C119" s="2"/>
      <c r="D119" s="2"/>
      <c r="E119" s="2"/>
      <c r="F119" s="2"/>
      <c r="G119" s="2"/>
      <c r="H119" s="2"/>
      <c r="J119" s="2"/>
      <c r="K119" s="2"/>
      <c r="M119" s="2"/>
      <c r="O119" s="2"/>
      <c r="P119" s="2"/>
      <c r="Q119" s="2"/>
    </row>
  </sheetData>
  <phoneticPr fontId="3" type="noConversion"/>
  <pageMargins left="0.7" right="0.7" top="0.75" bottom="0.75" header="0.3" footer="0.3"/>
  <pageSetup paperSize="9" orientation="portrait" r:id="rId1"/>
  <ignoredErrors>
    <ignoredError sqref="A1:S1 A47:S63 Q64:S64 P65:S65 P64 A46:N46 P46:S46 S2:S4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Reinout Geyssens</dc:creator>
  <cp:lastModifiedBy>Tom Houghton</cp:lastModifiedBy>
  <dcterms:created xsi:type="dcterms:W3CDTF">2015-06-05T18:19:34Z</dcterms:created>
  <dcterms:modified xsi:type="dcterms:W3CDTF">2026-04-17T15:50:49Z</dcterms:modified>
</cp:coreProperties>
</file>