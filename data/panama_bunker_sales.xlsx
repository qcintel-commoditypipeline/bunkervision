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C4DF2354-8C61-46EE-B5D1-010DBFB22B1B}" xr6:coauthVersionLast="47" xr6:coauthVersionMax="47" xr10:uidLastSave="{00000000-0000-0000-0000-000000000000}"/>
  <bookViews>
    <workbookView xWindow="-108" yWindow="-108" windowWidth="23256" windowHeight="12456" xr2:uid="{ADBF48DC-E3A8-4889-B55F-4430CC8EBE84}"/>
  </bookViews>
  <sheets>
    <sheet name="Sheet1" sheetId="1" r:id="rId1"/>
    <sheet name="how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6" i="1" l="1"/>
  <c r="AN185" i="1"/>
  <c r="AN184" i="1"/>
  <c r="B208" i="1"/>
  <c r="AB208" i="1" s="1"/>
  <c r="AD208" i="1"/>
  <c r="B206" i="1"/>
  <c r="AB206" i="1" s="1"/>
  <c r="B207" i="1"/>
  <c r="AB207" i="1" s="1"/>
  <c r="B205" i="1"/>
  <c r="AB205" i="1" s="1"/>
  <c r="AM195" i="1" s="1"/>
  <c r="B190" i="1"/>
  <c r="B191" i="1"/>
  <c r="AC191" i="1" s="1"/>
  <c r="B192" i="1"/>
  <c r="AB192" i="1" s="1"/>
  <c r="B193" i="1"/>
  <c r="B194" i="1"/>
  <c r="B195" i="1"/>
  <c r="AB195" i="1" s="1"/>
  <c r="AM185" i="1" s="1"/>
  <c r="B196" i="1"/>
  <c r="AD196" i="1" s="1"/>
  <c r="B197" i="1"/>
  <c r="AC197" i="1" s="1"/>
  <c r="B198" i="1"/>
  <c r="AC198" i="1" s="1"/>
  <c r="B199" i="1"/>
  <c r="AC199" i="1" s="1"/>
  <c r="B200" i="1"/>
  <c r="AC200" i="1" s="1"/>
  <c r="B201" i="1"/>
  <c r="B202" i="1"/>
  <c r="B203" i="1"/>
  <c r="AB203" i="1" s="1"/>
  <c r="AM193" i="1" s="1"/>
  <c r="B204" i="1"/>
  <c r="AB204" i="1" s="1"/>
  <c r="AM194" i="1" s="1"/>
  <c r="AB202" i="1"/>
  <c r="AM192" i="1" s="1"/>
  <c r="AB201" i="1"/>
  <c r="AM191" i="1" s="1"/>
  <c r="AB194" i="1"/>
  <c r="AM184" i="1" s="1"/>
  <c r="AB193" i="1"/>
  <c r="AL195" i="1" s="1"/>
  <c r="AC208" i="1" l="1"/>
  <c r="AD207" i="1"/>
  <c r="AC207" i="1"/>
  <c r="AD206" i="1"/>
  <c r="AC206" i="1"/>
  <c r="AD205" i="1"/>
  <c r="AC205" i="1"/>
  <c r="AD203" i="1"/>
  <c r="AC203" i="1"/>
  <c r="AD204" i="1"/>
  <c r="AC204" i="1"/>
  <c r="AC196" i="1"/>
  <c r="AD201" i="1"/>
  <c r="AD200" i="1"/>
  <c r="AB198" i="1"/>
  <c r="AM188" i="1" s="1"/>
  <c r="AC195" i="1"/>
  <c r="AB200" i="1"/>
  <c r="AM190" i="1" s="1"/>
  <c r="AB199" i="1"/>
  <c r="AM189" i="1" s="1"/>
  <c r="AC202" i="1"/>
  <c r="AC201" i="1"/>
  <c r="AD198" i="1"/>
  <c r="AB196" i="1"/>
  <c r="AM186" i="1" s="1"/>
  <c r="AD195" i="1"/>
  <c r="AD194" i="1"/>
  <c r="AD197" i="1"/>
  <c r="AD202" i="1"/>
  <c r="AC194" i="1"/>
  <c r="AD199" i="1"/>
  <c r="AB197" i="1"/>
  <c r="AM187" i="1" s="1"/>
  <c r="AD193" i="1"/>
  <c r="AC193" i="1"/>
  <c r="AL194" i="1"/>
  <c r="AD192" i="1"/>
  <c r="AC192" i="1"/>
  <c r="AD191" i="1"/>
  <c r="AB191" i="1"/>
  <c r="AL193" i="1" l="1"/>
  <c r="AC190" i="1"/>
  <c r="B189" i="1"/>
  <c r="AC189" i="1" s="1"/>
  <c r="B187" i="1"/>
  <c r="AD187" i="1" s="1"/>
  <c r="B188" i="1"/>
  <c r="AD188" i="1" s="1"/>
  <c r="B186" i="1"/>
  <c r="AC186" i="1" s="1"/>
  <c r="B185" i="1"/>
  <c r="AD185" i="1" s="1"/>
  <c r="B184" i="1"/>
  <c r="AC184" i="1" s="1"/>
  <c r="B183" i="1"/>
  <c r="AD183" i="1" s="1"/>
  <c r="B182" i="1"/>
  <c r="AD182" i="1" s="1"/>
  <c r="B181" i="1"/>
  <c r="AC181" i="1" s="1"/>
  <c r="AB190" i="1" l="1"/>
  <c r="AD190" i="1"/>
  <c r="AB189" i="1"/>
  <c r="AL191" i="1" s="1"/>
  <c r="AB186" i="1"/>
  <c r="AL188" i="1" s="1"/>
  <c r="AD189" i="1"/>
  <c r="AC188" i="1"/>
  <c r="AB188" i="1"/>
  <c r="AL190" i="1" s="1"/>
  <c r="AB184" i="1"/>
  <c r="AL186" i="1" s="1"/>
  <c r="AC187" i="1"/>
  <c r="AB187" i="1"/>
  <c r="AL189" i="1" s="1"/>
  <c r="AC185" i="1"/>
  <c r="AB185" i="1"/>
  <c r="AL187" i="1" s="1"/>
  <c r="AC183" i="1"/>
  <c r="AD184" i="1"/>
  <c r="AD186" i="1"/>
  <c r="AD181" i="1"/>
  <c r="AB182" i="1"/>
  <c r="AL184" i="1" s="1"/>
  <c r="AB183" i="1"/>
  <c r="AL185" i="1" s="1"/>
  <c r="AC182" i="1"/>
  <c r="AB181" i="1"/>
  <c r="B180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79" i="1"/>
  <c r="AK195" i="1" l="1"/>
  <c r="AL192" i="1"/>
  <c r="AC4" i="1"/>
  <c r="AD4" i="1"/>
  <c r="AB4" i="1"/>
  <c r="AC44" i="1"/>
  <c r="AD44" i="1"/>
  <c r="AB44" i="1"/>
  <c r="AC84" i="1"/>
  <c r="AD84" i="1"/>
  <c r="AB84" i="1"/>
  <c r="AC124" i="1"/>
  <c r="AD124" i="1"/>
  <c r="AB124" i="1"/>
  <c r="AG186" i="1" s="1"/>
  <c r="AC132" i="1"/>
  <c r="AD132" i="1"/>
  <c r="AB132" i="1"/>
  <c r="AG194" i="1" s="1"/>
  <c r="AD140" i="1"/>
  <c r="AC140" i="1"/>
  <c r="AB140" i="1"/>
  <c r="AH190" i="1" s="1"/>
  <c r="AD148" i="1"/>
  <c r="AC148" i="1"/>
  <c r="AB148" i="1"/>
  <c r="AI186" i="1" s="1"/>
  <c r="AC156" i="1"/>
  <c r="AB156" i="1"/>
  <c r="AI194" i="1" s="1"/>
  <c r="AD156" i="1"/>
  <c r="AD158" i="1"/>
  <c r="AC158" i="1"/>
  <c r="AB158" i="1"/>
  <c r="AJ184" i="1" s="1"/>
  <c r="AD166" i="1"/>
  <c r="AC166" i="1"/>
  <c r="AB166" i="1"/>
  <c r="AJ192" i="1" s="1"/>
  <c r="AD174" i="1"/>
  <c r="AC174" i="1"/>
  <c r="AB174" i="1"/>
  <c r="AK188" i="1" s="1"/>
  <c r="AC5" i="1"/>
  <c r="AB5" i="1"/>
  <c r="AD5" i="1"/>
  <c r="AC13" i="1"/>
  <c r="AB13" i="1"/>
  <c r="AD13" i="1"/>
  <c r="AC21" i="1"/>
  <c r="AB21" i="1"/>
  <c r="AD21" i="1"/>
  <c r="AC29" i="1"/>
  <c r="AB29" i="1"/>
  <c r="AD29" i="1"/>
  <c r="AC37" i="1"/>
  <c r="AB37" i="1"/>
  <c r="AD37" i="1"/>
  <c r="AC45" i="1"/>
  <c r="AB45" i="1"/>
  <c r="AD45" i="1"/>
  <c r="AC53" i="1"/>
  <c r="AB53" i="1"/>
  <c r="AD53" i="1"/>
  <c r="AC61" i="1"/>
  <c r="AB61" i="1"/>
  <c r="AD61" i="1"/>
  <c r="AC69" i="1"/>
  <c r="AB69" i="1"/>
  <c r="AD69" i="1"/>
  <c r="AC77" i="1"/>
  <c r="AB77" i="1"/>
  <c r="AD77" i="1"/>
  <c r="AC85" i="1"/>
  <c r="AB85" i="1"/>
  <c r="AD85" i="1"/>
  <c r="AC93" i="1"/>
  <c r="AB93" i="1"/>
  <c r="AD93" i="1"/>
  <c r="AC101" i="1"/>
  <c r="AB101" i="1"/>
  <c r="AD101" i="1"/>
  <c r="AC109" i="1"/>
  <c r="AB109" i="1"/>
  <c r="AD109" i="1"/>
  <c r="AC117" i="1"/>
  <c r="AB117" i="1"/>
  <c r="AD117" i="1"/>
  <c r="AC125" i="1"/>
  <c r="AB125" i="1"/>
  <c r="AG187" i="1" s="1"/>
  <c r="AD125" i="1"/>
  <c r="AC133" i="1"/>
  <c r="AB133" i="1"/>
  <c r="AG195" i="1" s="1"/>
  <c r="AD133" i="1"/>
  <c r="AC141" i="1"/>
  <c r="AB141" i="1"/>
  <c r="AH191" i="1" s="1"/>
  <c r="AD141" i="1"/>
  <c r="AC149" i="1"/>
  <c r="AB149" i="1"/>
  <c r="AI187" i="1" s="1"/>
  <c r="AD149" i="1"/>
  <c r="AC157" i="1"/>
  <c r="AB157" i="1"/>
  <c r="AI195" i="1" s="1"/>
  <c r="AD157" i="1"/>
  <c r="AC12" i="1"/>
  <c r="AD12" i="1"/>
  <c r="AB12" i="1"/>
  <c r="AC60" i="1"/>
  <c r="AD60" i="1"/>
  <c r="AB60" i="1"/>
  <c r="AC108" i="1"/>
  <c r="AD108" i="1"/>
  <c r="AB108" i="1"/>
  <c r="AD167" i="1"/>
  <c r="AC167" i="1"/>
  <c r="AB167" i="1"/>
  <c r="AJ193" i="1" s="1"/>
  <c r="AC22" i="1"/>
  <c r="AB22" i="1"/>
  <c r="AD22" i="1"/>
  <c r="AC54" i="1"/>
  <c r="AB54" i="1"/>
  <c r="AD54" i="1"/>
  <c r="AC86" i="1"/>
  <c r="AB86" i="1"/>
  <c r="AD86" i="1"/>
  <c r="AC118" i="1"/>
  <c r="AB118" i="1"/>
  <c r="AD118" i="1"/>
  <c r="AD180" i="1"/>
  <c r="AC180" i="1"/>
  <c r="AB180" i="1"/>
  <c r="AB160" i="1"/>
  <c r="AJ186" i="1" s="1"/>
  <c r="AD160" i="1"/>
  <c r="AC160" i="1"/>
  <c r="AB168" i="1"/>
  <c r="AJ194" i="1" s="1"/>
  <c r="AD168" i="1"/>
  <c r="AC168" i="1"/>
  <c r="AB176" i="1"/>
  <c r="AK190" i="1" s="1"/>
  <c r="AD176" i="1"/>
  <c r="AC176" i="1"/>
  <c r="AD7" i="1"/>
  <c r="AB7" i="1"/>
  <c r="AC7" i="1"/>
  <c r="AD15" i="1"/>
  <c r="AB15" i="1"/>
  <c r="AC15" i="1"/>
  <c r="AD23" i="1"/>
  <c r="AB23" i="1"/>
  <c r="AC23" i="1"/>
  <c r="AD31" i="1"/>
  <c r="AB31" i="1"/>
  <c r="AC31" i="1"/>
  <c r="AD39" i="1"/>
  <c r="AB39" i="1"/>
  <c r="AC39" i="1"/>
  <c r="AD47" i="1"/>
  <c r="AB47" i="1"/>
  <c r="AC47" i="1"/>
  <c r="AD55" i="1"/>
  <c r="AB55" i="1"/>
  <c r="AC55" i="1"/>
  <c r="AD63" i="1"/>
  <c r="AB63" i="1"/>
  <c r="AC63" i="1"/>
  <c r="AD71" i="1"/>
  <c r="AB71" i="1"/>
  <c r="AC71" i="1"/>
  <c r="AD79" i="1"/>
  <c r="AB79" i="1"/>
  <c r="AC79" i="1"/>
  <c r="AD87" i="1"/>
  <c r="AB87" i="1"/>
  <c r="AC87" i="1"/>
  <c r="AD95" i="1"/>
  <c r="AB95" i="1"/>
  <c r="AC95" i="1"/>
  <c r="AD103" i="1"/>
  <c r="AB103" i="1"/>
  <c r="AC103" i="1"/>
  <c r="AD111" i="1"/>
  <c r="AB111" i="1"/>
  <c r="AC111" i="1"/>
  <c r="AD119" i="1"/>
  <c r="AB119" i="1"/>
  <c r="AC119" i="1"/>
  <c r="AD127" i="1"/>
  <c r="AB127" i="1"/>
  <c r="AG189" i="1" s="1"/>
  <c r="AC127" i="1"/>
  <c r="AD135" i="1"/>
  <c r="AC135" i="1"/>
  <c r="AB135" i="1"/>
  <c r="AH185" i="1" s="1"/>
  <c r="AD143" i="1"/>
  <c r="AC143" i="1"/>
  <c r="AB143" i="1"/>
  <c r="AH193" i="1" s="1"/>
  <c r="AD151" i="1"/>
  <c r="AC151" i="1"/>
  <c r="AB151" i="1"/>
  <c r="AI189" i="1" s="1"/>
  <c r="AC165" i="1"/>
  <c r="AB165" i="1"/>
  <c r="AJ191" i="1" s="1"/>
  <c r="AD165" i="1"/>
  <c r="AC36" i="1"/>
  <c r="AD36" i="1"/>
  <c r="AB36" i="1"/>
  <c r="AC126" i="1"/>
  <c r="AB126" i="1"/>
  <c r="AG188" i="1" s="1"/>
  <c r="AD126" i="1"/>
  <c r="AD161" i="1"/>
  <c r="AC161" i="1"/>
  <c r="AB161" i="1"/>
  <c r="AJ187" i="1" s="1"/>
  <c r="AD177" i="1"/>
  <c r="AC177" i="1"/>
  <c r="AB177" i="1"/>
  <c r="AK191" i="1" s="1"/>
  <c r="AB8" i="1"/>
  <c r="AD8" i="1"/>
  <c r="AC8" i="1"/>
  <c r="AB16" i="1"/>
  <c r="AD16" i="1"/>
  <c r="AC16" i="1"/>
  <c r="AB24" i="1"/>
  <c r="AD24" i="1"/>
  <c r="AC24" i="1"/>
  <c r="AB32" i="1"/>
  <c r="AD32" i="1"/>
  <c r="AC32" i="1"/>
  <c r="AB40" i="1"/>
  <c r="AD40" i="1"/>
  <c r="AC40" i="1"/>
  <c r="AB48" i="1"/>
  <c r="AD48" i="1"/>
  <c r="AC48" i="1"/>
  <c r="AB56" i="1"/>
  <c r="AD56" i="1"/>
  <c r="AC56" i="1"/>
  <c r="AB64" i="1"/>
  <c r="AD64" i="1"/>
  <c r="AC64" i="1"/>
  <c r="AB72" i="1"/>
  <c r="AD72" i="1"/>
  <c r="AC72" i="1"/>
  <c r="AB80" i="1"/>
  <c r="AD80" i="1"/>
  <c r="AC80" i="1"/>
  <c r="AB88" i="1"/>
  <c r="AD88" i="1"/>
  <c r="AC88" i="1"/>
  <c r="AB96" i="1"/>
  <c r="AD96" i="1"/>
  <c r="AC96" i="1"/>
  <c r="AB104" i="1"/>
  <c r="AD104" i="1"/>
  <c r="AC104" i="1"/>
  <c r="AB112" i="1"/>
  <c r="AD112" i="1"/>
  <c r="AC112" i="1"/>
  <c r="AB120" i="1"/>
  <c r="AD120" i="1"/>
  <c r="AC120" i="1"/>
  <c r="AB128" i="1"/>
  <c r="AG190" i="1" s="1"/>
  <c r="AD128" i="1"/>
  <c r="AC128" i="1"/>
  <c r="AB136" i="1"/>
  <c r="AH186" i="1" s="1"/>
  <c r="AD136" i="1"/>
  <c r="AC136" i="1"/>
  <c r="AB144" i="1"/>
  <c r="AH194" i="1" s="1"/>
  <c r="AD144" i="1"/>
  <c r="AC144" i="1"/>
  <c r="AB152" i="1"/>
  <c r="AI190" i="1" s="1"/>
  <c r="AD152" i="1"/>
  <c r="AC152" i="1"/>
  <c r="AD179" i="1"/>
  <c r="AC179" i="1"/>
  <c r="AB179" i="1"/>
  <c r="AC28" i="1"/>
  <c r="AD28" i="1"/>
  <c r="AB28" i="1"/>
  <c r="AC76" i="1"/>
  <c r="AD76" i="1"/>
  <c r="AB76" i="1"/>
  <c r="AC100" i="1"/>
  <c r="AD100" i="1"/>
  <c r="AB100" i="1"/>
  <c r="AD175" i="1"/>
  <c r="AC175" i="1"/>
  <c r="AB175" i="1"/>
  <c r="AK189" i="1" s="1"/>
  <c r="AC30" i="1"/>
  <c r="AB30" i="1"/>
  <c r="AD30" i="1"/>
  <c r="AC70" i="1"/>
  <c r="AB70" i="1"/>
  <c r="AD70" i="1"/>
  <c r="AC102" i="1"/>
  <c r="AB102" i="1"/>
  <c r="AD102" i="1"/>
  <c r="AC134" i="1"/>
  <c r="AB134" i="1"/>
  <c r="AH184" i="1" s="1"/>
  <c r="AD134" i="1"/>
  <c r="AD169" i="1"/>
  <c r="AC169" i="1"/>
  <c r="AB169" i="1"/>
  <c r="AJ195" i="1" s="1"/>
  <c r="AD178" i="1"/>
  <c r="AC178" i="1"/>
  <c r="AB178" i="1"/>
  <c r="AK192" i="1" s="1"/>
  <c r="AD9" i="1"/>
  <c r="AB9" i="1"/>
  <c r="AC9" i="1"/>
  <c r="AD17" i="1"/>
  <c r="AB17" i="1"/>
  <c r="AC17" i="1"/>
  <c r="AD25" i="1"/>
  <c r="AB25" i="1"/>
  <c r="AC25" i="1"/>
  <c r="AD33" i="1"/>
  <c r="AB33" i="1"/>
  <c r="AC33" i="1"/>
  <c r="AD41" i="1"/>
  <c r="AB41" i="1"/>
  <c r="AC41" i="1"/>
  <c r="AD49" i="1"/>
  <c r="AB49" i="1"/>
  <c r="AC49" i="1"/>
  <c r="AD57" i="1"/>
  <c r="AB57" i="1"/>
  <c r="AC57" i="1"/>
  <c r="AD65" i="1"/>
  <c r="AB65" i="1"/>
  <c r="AC65" i="1"/>
  <c r="AD73" i="1"/>
  <c r="AB73" i="1"/>
  <c r="AC73" i="1"/>
  <c r="AD81" i="1"/>
  <c r="AB81" i="1"/>
  <c r="AC81" i="1"/>
  <c r="AD89" i="1"/>
  <c r="AB89" i="1"/>
  <c r="AC89" i="1"/>
  <c r="AD97" i="1"/>
  <c r="AB97" i="1"/>
  <c r="AC97" i="1"/>
  <c r="AD105" i="1"/>
  <c r="AB105" i="1"/>
  <c r="AC105" i="1"/>
  <c r="AD113" i="1"/>
  <c r="AB113" i="1"/>
  <c r="AC113" i="1"/>
  <c r="AD121" i="1"/>
  <c r="AB121" i="1"/>
  <c r="AC121" i="1"/>
  <c r="AD129" i="1"/>
  <c r="AB129" i="1"/>
  <c r="AG191" i="1" s="1"/>
  <c r="AC129" i="1"/>
  <c r="AD137" i="1"/>
  <c r="AB137" i="1"/>
  <c r="AH187" i="1" s="1"/>
  <c r="AC137" i="1"/>
  <c r="AD145" i="1"/>
  <c r="AC145" i="1"/>
  <c r="AB145" i="1"/>
  <c r="AH195" i="1" s="1"/>
  <c r="AD153" i="1"/>
  <c r="AC153" i="1"/>
  <c r="AB153" i="1"/>
  <c r="AI191" i="1" s="1"/>
  <c r="AC20" i="1"/>
  <c r="AD20" i="1"/>
  <c r="AB20" i="1"/>
  <c r="AC68" i="1"/>
  <c r="AD68" i="1"/>
  <c r="AB68" i="1"/>
  <c r="AC116" i="1"/>
  <c r="AD116" i="1"/>
  <c r="AB116" i="1"/>
  <c r="AC6" i="1"/>
  <c r="AB6" i="1"/>
  <c r="AD6" i="1"/>
  <c r="AC38" i="1"/>
  <c r="AB38" i="1"/>
  <c r="AD38" i="1"/>
  <c r="AC62" i="1"/>
  <c r="AB62" i="1"/>
  <c r="AD62" i="1"/>
  <c r="AC94" i="1"/>
  <c r="AB94" i="1"/>
  <c r="AD94" i="1"/>
  <c r="AD142" i="1"/>
  <c r="AC142" i="1"/>
  <c r="AB142" i="1"/>
  <c r="AH192" i="1" s="1"/>
  <c r="AD162" i="1"/>
  <c r="AC162" i="1"/>
  <c r="AB162" i="1"/>
  <c r="AJ188" i="1" s="1"/>
  <c r="AD171" i="1"/>
  <c r="AC171" i="1"/>
  <c r="AB171" i="1"/>
  <c r="AK185" i="1" s="1"/>
  <c r="AD2" i="1"/>
  <c r="AC2" i="1"/>
  <c r="AB2" i="1"/>
  <c r="AD10" i="1"/>
  <c r="AC10" i="1"/>
  <c r="AB10" i="1"/>
  <c r="AD18" i="1"/>
  <c r="AC18" i="1"/>
  <c r="AB18" i="1"/>
  <c r="AD26" i="1"/>
  <c r="AC26" i="1"/>
  <c r="AB26" i="1"/>
  <c r="AD34" i="1"/>
  <c r="AC34" i="1"/>
  <c r="AB34" i="1"/>
  <c r="AD42" i="1"/>
  <c r="AC42" i="1"/>
  <c r="AB42" i="1"/>
  <c r="AD50" i="1"/>
  <c r="AC50" i="1"/>
  <c r="AB50" i="1"/>
  <c r="AD58" i="1"/>
  <c r="AC58" i="1"/>
  <c r="AB58" i="1"/>
  <c r="AD66" i="1"/>
  <c r="AC66" i="1"/>
  <c r="AB66" i="1"/>
  <c r="AD74" i="1"/>
  <c r="AC74" i="1"/>
  <c r="AB74" i="1"/>
  <c r="AD82" i="1"/>
  <c r="AC82" i="1"/>
  <c r="AB82" i="1"/>
  <c r="AD90" i="1"/>
  <c r="AC90" i="1"/>
  <c r="AB90" i="1"/>
  <c r="AD98" i="1"/>
  <c r="AC98" i="1"/>
  <c r="AB98" i="1"/>
  <c r="AD106" i="1"/>
  <c r="AC106" i="1"/>
  <c r="AB106" i="1"/>
  <c r="AD114" i="1"/>
  <c r="AC114" i="1"/>
  <c r="AB114" i="1"/>
  <c r="AD122" i="1"/>
  <c r="AC122" i="1"/>
  <c r="AB122" i="1"/>
  <c r="AG184" i="1" s="1"/>
  <c r="AD130" i="1"/>
  <c r="AC130" i="1"/>
  <c r="AB130" i="1"/>
  <c r="AG192" i="1" s="1"/>
  <c r="AD138" i="1"/>
  <c r="AC138" i="1"/>
  <c r="AB138" i="1"/>
  <c r="AH188" i="1" s="1"/>
  <c r="AD146" i="1"/>
  <c r="AC146" i="1"/>
  <c r="AB146" i="1"/>
  <c r="AI184" i="1" s="1"/>
  <c r="AD154" i="1"/>
  <c r="AC154" i="1"/>
  <c r="AB154" i="1"/>
  <c r="AI192" i="1" s="1"/>
  <c r="AC173" i="1"/>
  <c r="AB173" i="1"/>
  <c r="AK187" i="1" s="1"/>
  <c r="AD173" i="1"/>
  <c r="AC52" i="1"/>
  <c r="AB52" i="1"/>
  <c r="AD52" i="1"/>
  <c r="AC92" i="1"/>
  <c r="AD92" i="1"/>
  <c r="AB92" i="1"/>
  <c r="AD159" i="1"/>
  <c r="AC159" i="1"/>
  <c r="AB159" i="1"/>
  <c r="AJ185" i="1" s="1"/>
  <c r="AC14" i="1"/>
  <c r="AB14" i="1"/>
  <c r="AD14" i="1"/>
  <c r="AC46" i="1"/>
  <c r="AB46" i="1"/>
  <c r="AD46" i="1"/>
  <c r="AC78" i="1"/>
  <c r="AB78" i="1"/>
  <c r="AD78" i="1"/>
  <c r="AC110" i="1"/>
  <c r="AB110" i="1"/>
  <c r="AD110" i="1"/>
  <c r="AD150" i="1"/>
  <c r="AC150" i="1"/>
  <c r="AB150" i="1"/>
  <c r="AI188" i="1" s="1"/>
  <c r="AD170" i="1"/>
  <c r="AC170" i="1"/>
  <c r="AB170" i="1"/>
  <c r="AK184" i="1" s="1"/>
  <c r="AD163" i="1"/>
  <c r="AC163" i="1"/>
  <c r="AB163" i="1"/>
  <c r="AJ189" i="1" s="1"/>
  <c r="AD164" i="1"/>
  <c r="AC164" i="1"/>
  <c r="AB164" i="1"/>
  <c r="AJ190" i="1" s="1"/>
  <c r="AD172" i="1"/>
  <c r="AC172" i="1"/>
  <c r="AB172" i="1"/>
  <c r="AK186" i="1" s="1"/>
  <c r="AD3" i="1"/>
  <c r="AC3" i="1"/>
  <c r="AB3" i="1"/>
  <c r="AD11" i="1"/>
  <c r="AC11" i="1"/>
  <c r="AB11" i="1"/>
  <c r="AD19" i="1"/>
  <c r="AC19" i="1"/>
  <c r="AB19" i="1"/>
  <c r="AD27" i="1"/>
  <c r="AC27" i="1"/>
  <c r="AB27" i="1"/>
  <c r="AD35" i="1"/>
  <c r="AC35" i="1"/>
  <c r="AB35" i="1"/>
  <c r="AD43" i="1"/>
  <c r="AC43" i="1"/>
  <c r="AB43" i="1"/>
  <c r="AD51" i="1"/>
  <c r="AC51" i="1"/>
  <c r="AB51" i="1"/>
  <c r="AD59" i="1"/>
  <c r="AC59" i="1"/>
  <c r="AB59" i="1"/>
  <c r="AD67" i="1"/>
  <c r="AC67" i="1"/>
  <c r="AB67" i="1"/>
  <c r="AD75" i="1"/>
  <c r="AC75" i="1"/>
  <c r="AB75" i="1"/>
  <c r="AD83" i="1"/>
  <c r="AC83" i="1"/>
  <c r="AB83" i="1"/>
  <c r="AD91" i="1"/>
  <c r="AC91" i="1"/>
  <c r="AB91" i="1"/>
  <c r="AD99" i="1"/>
  <c r="AC99" i="1"/>
  <c r="AB99" i="1"/>
  <c r="AD107" i="1"/>
  <c r="AC107" i="1"/>
  <c r="AB107" i="1"/>
  <c r="AD115" i="1"/>
  <c r="AC115" i="1"/>
  <c r="AB115" i="1"/>
  <c r="AD123" i="1"/>
  <c r="AC123" i="1"/>
  <c r="AB123" i="1"/>
  <c r="AG185" i="1" s="1"/>
  <c r="AD131" i="1"/>
  <c r="AC131" i="1"/>
  <c r="AB131" i="1"/>
  <c r="AG193" i="1" s="1"/>
  <c r="AD139" i="1"/>
  <c r="AC139" i="1"/>
  <c r="AB139" i="1"/>
  <c r="AH189" i="1" s="1"/>
  <c r="AD147" i="1"/>
  <c r="AC147" i="1"/>
  <c r="AB147" i="1"/>
  <c r="AI185" i="1" s="1"/>
  <c r="AD155" i="1"/>
  <c r="AC155" i="1"/>
  <c r="AB155" i="1"/>
  <c r="AI193" i="1" s="1"/>
  <c r="AI200" i="1" l="1" a="1"/>
  <c r="AI200" i="1" s="1"/>
  <c r="AI199" i="1" a="1"/>
  <c r="AI199" i="1" s="1"/>
  <c r="AI202" i="1" a="1"/>
  <c r="AI202" i="1" s="1"/>
  <c r="AI198" i="1" a="1"/>
  <c r="AI198" i="1" s="1"/>
  <c r="AI201" i="1" a="1"/>
  <c r="AI201" i="1" s="1"/>
  <c r="AH201" i="1" a="1"/>
  <c r="AH201" i="1" s="1"/>
  <c r="AH200" i="1" a="1"/>
  <c r="AH200" i="1" s="1"/>
  <c r="AH199" i="1" a="1"/>
  <c r="AH199" i="1" s="1"/>
  <c r="AH198" i="1" a="1"/>
  <c r="AH198" i="1" s="1"/>
  <c r="AH202" i="1" a="1"/>
  <c r="AH202" i="1" s="1"/>
  <c r="AJ198" i="1" a="1"/>
  <c r="AJ198" i="1" s="1"/>
  <c r="AJ199" i="1" a="1"/>
  <c r="AJ199" i="1" s="1"/>
  <c r="AJ200" i="1" a="1"/>
  <c r="AJ200" i="1" s="1"/>
  <c r="AJ201" i="1" a="1"/>
  <c r="AJ201" i="1" s="1"/>
  <c r="AJ202" i="1" a="1"/>
  <c r="AJ202" i="1" s="1"/>
  <c r="AK194" i="1"/>
  <c r="AK1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<sst xmlns="http://schemas.openxmlformats.org/spreadsheetml/2006/main" count="51" uniqueCount="51">
  <si>
    <t>Total</t>
  </si>
  <si>
    <t>Pacific vessel calls</t>
  </si>
  <si>
    <t>Atlantic vessel calls</t>
  </si>
  <si>
    <t>Barges operating</t>
  </si>
  <si>
    <t>Total vessels</t>
  </si>
  <si>
    <t>Pacific Barcazas Operando</t>
  </si>
  <si>
    <t>Pacific Total</t>
  </si>
  <si>
    <t>Pacific VLSFO</t>
  </si>
  <si>
    <t>Pacific RMG 380</t>
  </si>
  <si>
    <t>Pacific MGO</t>
  </si>
  <si>
    <t>Pacific LSMGO</t>
  </si>
  <si>
    <t>Atlantic Barges operating</t>
  </si>
  <si>
    <t>Atlantic Total</t>
  </si>
  <si>
    <t>Atlantic VLSFO</t>
  </si>
  <si>
    <t>Atlantic RMG 380</t>
  </si>
  <si>
    <t>Atlantic MGO</t>
  </si>
  <si>
    <t>Total VLSFO</t>
  </si>
  <si>
    <t>Total RMG 380</t>
  </si>
  <si>
    <t>Total MGO</t>
  </si>
  <si>
    <t>Total LSMGO</t>
  </si>
  <si>
    <t>Atlantic SMGO</t>
  </si>
  <si>
    <t>Date</t>
  </si>
  <si>
    <t>Daily</t>
  </si>
  <si>
    <t>Daily VLSFO</t>
  </si>
  <si>
    <t>Daily HSFO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</si>
  <si>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</si>
  <si>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</si>
  <si>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</si>
  <si>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</si>
  <si>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</si>
  <si>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</si>
  <si>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</si>
  <si>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</si>
  <si>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</si>
  <si>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</si>
  <si>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</si>
  <si>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</si>
  <si>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MOM Δ</t>
  </si>
  <si>
    <t>YOY Δ</t>
  </si>
  <si>
    <t>TOTAL</t>
  </si>
  <si>
    <t>VLSFO</t>
  </si>
  <si>
    <t>HSFO</t>
  </si>
  <si>
    <t>Total bio</t>
  </si>
  <si>
    <t>Pacific bio</t>
  </si>
  <si>
    <t>Atlantic bio</t>
  </si>
  <si>
    <t>If that doesn’t work, there is a backup saved at https://monitoreo.antai.gob.pa/transparencia/5</t>
  </si>
  <si>
    <t>Go to Article 10, Statistics, select F-193</t>
  </si>
  <si>
    <t>https://www.amp.gob.pa/estadistica/</t>
  </si>
  <si>
    <t>Indicadores&gt;Venta de combostivel por mes&gt;Ano (this year)</t>
  </si>
  <si>
    <t>Download PDF</t>
  </si>
  <si>
    <t>Should be able to copy the latest month's data as a row, paste it in the sheet and use Text to Columns to save yourself some time. Space as a column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</si>
</sst>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\-* #,##0_-;_-* &quot;-&quot;??_-;_-@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17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164" fontId="0" fillId="0" borderId="0" xfId="1" applyNumberFormat="1" applyFont="1"/>
    <xf numFmtId="164" fontId="0" fillId="2" borderId="0" xfId="1" applyNumberFormat="1" applyFont="1" applyFill="1"/>
    <xf numFmtId="164" fontId="0" fillId="3" borderId="0" xfId="1" applyNumberFormat="1" applyFont="1" applyFill="1"/>
    <xf numFmtId="165" fontId="2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right"/>
    </xf>
    <xf numFmtId="166" fontId="2" fillId="0" borderId="0" xfId="0" applyNumberFormat="1" applyFont="1"/>
    <xf numFmtId="0" fontId="0" fillId="0" borderId="1" xfId="0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4" fillId="0" borderId="4" xfId="0" applyFont="1" applyBorder="1" applyAlignment="1">
      <alignment horizontal="right"/>
    </xf>
    <xf numFmtId="166" fontId="2" fillId="0" borderId="5" xfId="0" applyNumberFormat="1" applyFont="1" applyBorder="1"/>
    <xf numFmtId="165" fontId="2" fillId="0" borderId="5" xfId="0" applyNumberFormat="1" applyFont="1" applyBorder="1"/>
    <xf numFmtId="166" fontId="2" fillId="0" borderId="0" xfId="2" applyNumberFormat="1" applyFont="1" applyBorder="1"/>
    <xf numFmtId="166" fontId="2" fillId="0" borderId="5" xfId="2" applyNumberFormat="1" applyFont="1" applyBorder="1"/>
    <xf numFmtId="0" fontId="0" fillId="0" borderId="6" xfId="0" applyBorder="1"/>
    <xf numFmtId="165" fontId="2" fillId="0" borderId="7" xfId="0" applyNumberFormat="1" applyFont="1" applyBorder="1"/>
    <xf numFmtId="165" fontId="2" fillId="0" borderId="8" xfId="0" applyNumberFormat="1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4310482744761"/>
          <c:y val="3.3666098335371694E-2"/>
          <c:w val="0.87197211437505395"/>
          <c:h val="0.82532379822029966"/>
        </c:manualLayout>
      </c:layout>
      <c:lineChart>
        <c:grouping val="standard"/>
        <c:varyColors val="0"/>
        <c:ser>
          <c:idx val="0"/>
          <c:order val="0"/>
          <c:tx>
            <c:strRef>
              <c:f>Sheet1!$AG$183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Sheet1!$AG$184:$AG$195</c:f>
              <c:numCache>
                <c:formatCode>_-* #,##0_-;\-* #,##0_-;_-* "-"??_-;_-@_-</c:formatCode>
                <c:ptCount val="12"/>
                <c:pt idx="0">
                  <c:v>14151</c:v>
                </c:pt>
                <c:pt idx="1">
                  <c:v>13138.392857142857</c:v>
                </c:pt>
                <c:pt idx="2">
                  <c:v>14510.161290322581</c:v>
                </c:pt>
                <c:pt idx="3">
                  <c:v>13555.9</c:v>
                </c:pt>
                <c:pt idx="4">
                  <c:v>13374.774193548386</c:v>
                </c:pt>
                <c:pt idx="5">
                  <c:v>16015.466666666667</c:v>
                </c:pt>
                <c:pt idx="6">
                  <c:v>15617.548387096775</c:v>
                </c:pt>
                <c:pt idx="7">
                  <c:v>17050.709677419356</c:v>
                </c:pt>
                <c:pt idx="8">
                  <c:v>13096.233333333334</c:v>
                </c:pt>
                <c:pt idx="9">
                  <c:v>13662.645161290322</c:v>
                </c:pt>
                <c:pt idx="10">
                  <c:v>15006.433333333332</c:v>
                </c:pt>
                <c:pt idx="11">
                  <c:v>16617.032258064515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E-484E-8725-961357880200}"/>
            </c:ext>
          </c:extLst>
        </c:ser>
        <c:ser>
          <c:idx val="1"/>
          <c:order val="1"/>
          <c:tx>
            <c:strRef>
              <c:f>Sheet1!$AH$183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Sheet1!$AH$184:$AH$195</c:f>
              <c:numCache>
                <c:formatCode>_-* #,##0_-;\-* #,##0_-;_-* "-"??_-;_-@_-</c:formatCode>
                <c:ptCount val="12"/>
                <c:pt idx="0">
                  <c:v>15398.032258064517</c:v>
                </c:pt>
                <c:pt idx="1">
                  <c:v>15271.931034482759</c:v>
                </c:pt>
                <c:pt idx="2">
                  <c:v>14454.612903225807</c:v>
                </c:pt>
                <c:pt idx="3">
                  <c:v>13840.733333333334</c:v>
                </c:pt>
                <c:pt idx="4">
                  <c:v>12482.41935483871</c:v>
                </c:pt>
                <c:pt idx="5">
                  <c:v>10077.666666666666</c:v>
                </c:pt>
                <c:pt idx="6">
                  <c:v>10872.096774193549</c:v>
                </c:pt>
                <c:pt idx="7">
                  <c:v>12001.774193548386</c:v>
                </c:pt>
                <c:pt idx="8">
                  <c:v>12504.2</c:v>
                </c:pt>
                <c:pt idx="9">
                  <c:v>13310.387096774193</c:v>
                </c:pt>
                <c:pt idx="10">
                  <c:v>12124.5</c:v>
                </c:pt>
                <c:pt idx="11">
                  <c:v>13330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E-484E-8725-961357880200}"/>
            </c:ext>
          </c:extLst>
        </c:ser>
        <c:ser>
          <c:idx val="2"/>
          <c:order val="2"/>
          <c:tx>
            <c:strRef>
              <c:f>Sheet1!$AI$183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Sheet1!$AI$184:$AI$195</c:f>
              <c:numCache>
                <c:formatCode>_-* #,##0_-;\-* #,##0_-;_-* "-"??_-;_-@_-</c:formatCode>
                <c:ptCount val="12"/>
                <c:pt idx="0">
                  <c:v>13343.548387096775</c:v>
                </c:pt>
                <c:pt idx="1">
                  <c:v>14943.392857142857</c:v>
                </c:pt>
                <c:pt idx="2">
                  <c:v>14258.903225806451</c:v>
                </c:pt>
                <c:pt idx="3">
                  <c:v>13910.166666666666</c:v>
                </c:pt>
                <c:pt idx="4">
                  <c:v>13472.354838709678</c:v>
                </c:pt>
                <c:pt idx="5">
                  <c:v>12571.766666666666</c:v>
                </c:pt>
                <c:pt idx="6">
                  <c:v>12490.903225806451</c:v>
                </c:pt>
                <c:pt idx="7">
                  <c:v>12536.774193548386</c:v>
                </c:pt>
                <c:pt idx="8">
                  <c:v>12934.233333333334</c:v>
                </c:pt>
                <c:pt idx="9">
                  <c:v>13369.096774193549</c:v>
                </c:pt>
                <c:pt idx="10">
                  <c:v>15512.666666666666</c:v>
                </c:pt>
                <c:pt idx="11">
                  <c:v>15697.225806451614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E-484E-8725-961357880200}"/>
            </c:ext>
          </c:extLst>
        </c:ser>
        <c:ser>
          <c:idx val="3"/>
          <c:order val="3"/>
          <c:tx>
            <c:strRef>
              <c:f>Sheet1!$AJ$183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Sheet1!$AJ$184:$AJ$195</c:f>
              <c:numCache>
                <c:formatCode>_-* #,##0_-;\-* #,##0_-;_-* "-"??_-;_-@_-</c:formatCode>
                <c:ptCount val="12"/>
                <c:pt idx="0">
                  <c:v>14569.806451612903</c:v>
                </c:pt>
                <c:pt idx="1">
                  <c:v>13487.464285714286</c:v>
                </c:pt>
                <c:pt idx="2">
                  <c:v>13712.032258064517</c:v>
                </c:pt>
                <c:pt idx="3">
                  <c:v>15930.033333333333</c:v>
                </c:pt>
                <c:pt idx="4">
                  <c:v>13589.41935483871</c:v>
                </c:pt>
                <c:pt idx="5">
                  <c:v>14465.766666666666</c:v>
                </c:pt>
                <c:pt idx="6">
                  <c:v>14452.806451612903</c:v>
                </c:pt>
                <c:pt idx="7">
                  <c:v>15240.258064516129</c:v>
                </c:pt>
                <c:pt idx="8">
                  <c:v>12719</c:v>
                </c:pt>
                <c:pt idx="9">
                  <c:v>14634</c:v>
                </c:pt>
                <c:pt idx="10">
                  <c:v>13759.733333333334</c:v>
                </c:pt>
                <c:pt idx="11">
                  <c:v>15358.354838709678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AE-484E-8725-961357880200}"/>
            </c:ext>
          </c:extLst>
        </c:ser>
        <c:ser>
          <c:idx val="4"/>
          <c:order val="4"/>
          <c:tx>
            <c:strRef>
              <c:f>Sheet1!$AK$183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Sheet1!$AK$184:$AK$195</c:f>
              <c:numCache>
                <c:formatCode>_-* #,##0_-;\-* #,##0_-;_-* "-"??_-;_-@_-</c:formatCode>
                <c:ptCount val="12"/>
                <c:pt idx="0">
                  <c:v>14026.032258064517</c:v>
                </c:pt>
                <c:pt idx="1">
                  <c:v>14417.964285714286</c:v>
                </c:pt>
                <c:pt idx="2">
                  <c:v>15078.225806451614</c:v>
                </c:pt>
                <c:pt idx="3">
                  <c:v>12796.933333333332</c:v>
                </c:pt>
                <c:pt idx="4">
                  <c:v>13108.225806451614</c:v>
                </c:pt>
                <c:pt idx="5">
                  <c:v>12765.166666666666</c:v>
                </c:pt>
                <c:pt idx="6">
                  <c:v>13305.741935483871</c:v>
                </c:pt>
                <c:pt idx="7">
                  <c:v>13552.516129032258</c:v>
                </c:pt>
                <c:pt idx="8">
                  <c:v>12817.166666666666</c:v>
                </c:pt>
                <c:pt idx="9">
                  <c:v>13982.193548387097</c:v>
                </c:pt>
                <c:pt idx="10">
                  <c:v>12721.6</c:v>
                </c:pt>
                <c:pt idx="11">
                  <c:v>12647.193548387097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AE-484E-8725-961357880200}"/>
            </c:ext>
          </c:extLst>
        </c:ser>
        <c:ser>
          <c:idx val="5"/>
          <c:order val="5"/>
          <c:tx>
            <c:strRef>
              <c:f>Sheet1!$AL$183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Sheet1!$AL$184:$AL$195</c:f>
              <c:numCache>
                <c:formatCode>_-* #,##0_-;\-* #,##0_-;_-* "-"??_-;_-@_-</c:formatCode>
                <c:ptCount val="12"/>
                <c:pt idx="0">
                  <c:v>12178.774193548386</c:v>
                </c:pt>
                <c:pt idx="1">
                  <c:v>12156.586206896553</c:v>
                </c:pt>
                <c:pt idx="2">
                  <c:v>12602.516129032258</c:v>
                </c:pt>
                <c:pt idx="3">
                  <c:v>12528.266666666666</c:v>
                </c:pt>
                <c:pt idx="4">
                  <c:v>12840.774193548386</c:v>
                </c:pt>
                <c:pt idx="5">
                  <c:v>12857.2</c:v>
                </c:pt>
                <c:pt idx="6">
                  <c:v>14080.870967741936</c:v>
                </c:pt>
                <c:pt idx="7">
                  <c:v>14746</c:v>
                </c:pt>
                <c:pt idx="8">
                  <c:v>14254.8</c:v>
                </c:pt>
                <c:pt idx="9">
                  <c:v>16920.935483870966</c:v>
                </c:pt>
                <c:pt idx="10">
                  <c:v>15603.166666666666</c:v>
                </c:pt>
                <c:pt idx="11">
                  <c:v>16147.193548387097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AE-484E-8725-961357880200}"/>
            </c:ext>
          </c:extLst>
        </c:ser>
        <c:ser>
          <c:idx val="6"/>
          <c:order val="6"/>
          <c:tx>
            <c:strRef>
              <c:f>Sheet1!$AM$183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Sheet1!$AM$184:$AM$195</c:f>
              <c:numCache>
                <c:formatCode>_-* #,##0_-;\-* #,##0_-;_-* "-"??_-;_-@_-</c:formatCode>
                <c:ptCount val="12"/>
                <c:pt idx="0">
                  <c:v>15416.129032258064</c:v>
                </c:pt>
                <c:pt idx="1">
                  <c:v>14859.321428571429</c:v>
                </c:pt>
                <c:pt idx="2">
                  <c:v>16090.774193548386</c:v>
                </c:pt>
                <c:pt idx="3">
                  <c:v>15304.2</c:v>
                </c:pt>
                <c:pt idx="4">
                  <c:v>14625.709677419354</c:v>
                </c:pt>
                <c:pt idx="5">
                  <c:v>14371.566666666668</c:v>
                </c:pt>
                <c:pt idx="6">
                  <c:v>12488.774193548386</c:v>
                </c:pt>
                <c:pt idx="7">
                  <c:v>13517.935483870968</c:v>
                </c:pt>
                <c:pt idx="8">
                  <c:v>12534.433333333332</c:v>
                </c:pt>
                <c:pt idx="9">
                  <c:v>14894.161290322581</c:v>
                </c:pt>
                <c:pt idx="10">
                  <c:v>14284.1</c:v>
                </c:pt>
                <c:pt idx="11">
                  <c:v>15449.612903225807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2-485C-8877-9EE0D9D628DA}"/>
            </c:ext>
          </c:extLst>
        </c:ser>
        <c:ser>
          <c:idx val="7"/>
          <c:order val="7"/>
          <c:tx>
            <c:strRef>
              <c:f>Sheet1!$AN$183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Sheet1!$AF$184:$AF$195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Sheet1!$AN$184:$AN$195</c:f>
              <c:numCache>
                <c:formatCode>_-* #,##0_-;\-* #,##0_-;_-* "-"??_-;_-@_-</c:formatCode>
                <c:ptCount val="12"/>
                <c:pt idx="0">
                  <c:v>15763.258064516129</c:v>
                </c:pt>
                <c:pt idx="1">
                  <c:v>15858.642857142857</c:v>
                </c:pt>
                <c:pt idx="2">
                  <c:v>16061.290322580646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6-4D2C-AC58-9BC86E70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855615"/>
        <c:axId val="1378867615"/>
      </c:lineChart>
      <c:catAx>
        <c:axId val="13788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67615"/>
        <c:crosses val="autoZero"/>
        <c:auto val="1"/>
        <c:lblAlgn val="ctr"/>
        <c:lblOffset val="100"/>
        <c:noMultiLvlLbl val="0"/>
      </c:catAx>
      <c:valAx>
        <c:axId val="1378867615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5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507092</xdr:colOff>
      <xdr:row>158</xdr:row>
      <xdr:rowOff>111577</xdr:rowOff>
    </xdr:from>
    <xdr:to>
      <xdr:col>39</xdr:col>
      <xdr:colOff>143933</xdr:colOff>
      <xdr:row>180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5DE55-C702-BCEC-57FF-ECF59F300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8F6-8659-4760-8A9C-798F99896532}">
  <dimension ref="A1:AN232"/>
  <sheetViews>
    <sheetView tabSelected="1" topLeftCell="U1" zoomScale="90" zoomScaleNormal="90" workbookViewId="0">
      <pane ySplit="1" topLeftCell="A175" activePane="bottomLeft" state="frozen"/>
      <selection pane="bottomLeft" activeCell="AE202" sqref="AE202"/>
    </sheetView>
  </sheetViews>
  <sheetFormatPr defaultRowHeight="14.4" x14ac:dyDescent="0.3"/>
  <cols>
    <col min="2" max="2" width="6.77734375" customWidth="1"/>
    <col min="3" max="3" width="13.33203125" customWidth="1"/>
    <col min="4" max="4" width="16" customWidth="1"/>
    <col min="5" max="5" width="13.77734375" bestFit="1" customWidth="1"/>
    <col min="6" max="6" width="13.77734375" customWidth="1"/>
    <col min="7" max="7" width="13.77734375" bestFit="1" customWidth="1"/>
    <col min="8" max="8" width="16.33203125" customWidth="1"/>
    <col min="9" max="9" width="12.5546875" bestFit="1" customWidth="1"/>
    <col min="10" max="10" width="12.5546875" customWidth="1"/>
    <col min="11" max="11" width="9.5546875" style="3" bestFit="1" customWidth="1"/>
    <col min="12" max="12" width="8.77734375" style="3" bestFit="1" customWidth="1"/>
    <col min="13" max="13" width="13.77734375" style="3" bestFit="1" customWidth="1"/>
    <col min="14" max="14" width="13.77734375" style="3" customWidth="1"/>
    <col min="15" max="16" width="13.77734375" style="3" bestFit="1" customWidth="1"/>
    <col min="17" max="18" width="12.5546875" style="3" bestFit="1" customWidth="1"/>
    <col min="19" max="19" width="9.5546875" style="5" bestFit="1" customWidth="1"/>
    <col min="20" max="20" width="8.77734375" style="5" bestFit="1" customWidth="1"/>
    <col min="21" max="21" width="13.44140625" style="5" bestFit="1" customWidth="1"/>
    <col min="22" max="22" width="13.44140625" style="5" customWidth="1"/>
    <col min="23" max="23" width="12.5546875" style="5" bestFit="1" customWidth="1"/>
    <col min="24" max="24" width="13.44140625" style="5" bestFit="1" customWidth="1"/>
    <col min="25" max="25" width="12.21875" style="5" bestFit="1" customWidth="1"/>
    <col min="26" max="26" width="11.77734375" style="5" bestFit="1" customWidth="1"/>
    <col min="28" max="28" width="10.21875" bestFit="1" customWidth="1"/>
    <col min="29" max="29" width="13.5546875" customWidth="1"/>
    <col min="30" max="30" width="12.6640625" customWidth="1"/>
    <col min="32" max="32" width="5" bestFit="1" customWidth="1"/>
    <col min="33" max="38" width="9.21875" bestFit="1" customWidth="1"/>
    <col min="39" max="39" width="9.5546875" customWidth="1"/>
  </cols>
  <sheetData>
    <row r="1" spans="1:30" x14ac:dyDescent="0.3">
      <c r="A1" t="s">
        <v>21</v>
      </c>
      <c r="C1" t="s">
        <v>4</v>
      </c>
      <c r="D1" t="s">
        <v>3</v>
      </c>
      <c r="E1" s="1" t="s">
        <v>0</v>
      </c>
      <c r="F1" s="1" t="s">
        <v>42</v>
      </c>
      <c r="G1" s="1" t="s">
        <v>16</v>
      </c>
      <c r="H1" s="1" t="s">
        <v>17</v>
      </c>
      <c r="I1" s="1" t="s">
        <v>18</v>
      </c>
      <c r="J1" s="1" t="s">
        <v>19</v>
      </c>
      <c r="K1" s="3" t="s">
        <v>1</v>
      </c>
      <c r="L1" s="3" t="s">
        <v>5</v>
      </c>
      <c r="M1" s="4" t="s">
        <v>6</v>
      </c>
      <c r="N1" s="4" t="s">
        <v>43</v>
      </c>
      <c r="O1" s="4" t="s">
        <v>7</v>
      </c>
      <c r="P1" s="4" t="s">
        <v>8</v>
      </c>
      <c r="Q1" s="4" t="s">
        <v>9</v>
      </c>
      <c r="R1" s="4" t="s">
        <v>10</v>
      </c>
      <c r="S1" s="5" t="s">
        <v>2</v>
      </c>
      <c r="T1" s="5" t="s">
        <v>11</v>
      </c>
      <c r="U1" s="6" t="s">
        <v>12</v>
      </c>
      <c r="V1" s="6" t="s">
        <v>44</v>
      </c>
      <c r="W1" s="6" t="s">
        <v>13</v>
      </c>
      <c r="X1" s="6" t="s">
        <v>14</v>
      </c>
      <c r="Y1" s="6" t="s">
        <v>15</v>
      </c>
      <c r="Z1" s="6" t="s">
        <v>20</v>
      </c>
      <c r="AB1" s="1" t="s">
        <v>22</v>
      </c>
      <c r="AC1" s="1" t="s">
        <v>23</v>
      </c>
      <c r="AD1" s="1" t="s">
        <v>24</v>
      </c>
    </row>
    <row r="2" spans="1:30" x14ac:dyDescent="0.3">
      <c r="A2" s="2">
        <v>39814</v>
      </c>
      <c r="B2" s="10">
        <f t="shared" ref="B2:B65" si="0">_xlfn.DAYS(EOMONTH(A2,0),A2)+1</f>
        <v>31</v>
      </c>
      <c r="C2" s="7">
        <v>348</v>
      </c>
      <c r="D2" s="7">
        <v>20</v>
      </c>
      <c r="E2" s="7">
        <v>177976</v>
      </c>
      <c r="F2" s="7">
        <v>0</v>
      </c>
      <c r="G2" s="7">
        <v>0</v>
      </c>
      <c r="H2" s="7">
        <v>170175</v>
      </c>
      <c r="I2" s="7">
        <v>7801</v>
      </c>
      <c r="J2" s="7">
        <v>0</v>
      </c>
      <c r="K2" s="8">
        <v>195</v>
      </c>
      <c r="L2" s="8">
        <v>12</v>
      </c>
      <c r="M2" s="8">
        <v>113912</v>
      </c>
      <c r="N2" s="8">
        <v>0</v>
      </c>
      <c r="O2" s="8">
        <v>0</v>
      </c>
      <c r="P2" s="8">
        <v>109551</v>
      </c>
      <c r="Q2" s="8">
        <v>4361</v>
      </c>
      <c r="R2" s="8">
        <v>0</v>
      </c>
      <c r="S2" s="9">
        <v>153</v>
      </c>
      <c r="T2" s="9">
        <v>8</v>
      </c>
      <c r="U2" s="9">
        <v>64064</v>
      </c>
      <c r="V2" s="9">
        <v>0</v>
      </c>
      <c r="W2" s="9">
        <v>0</v>
      </c>
      <c r="X2" s="9">
        <v>60624</v>
      </c>
      <c r="Y2" s="9">
        <v>3440</v>
      </c>
      <c r="Z2" s="9">
        <v>0</v>
      </c>
      <c r="AB2" s="7">
        <f t="shared" ref="AB2:AB65" si="1">E2/B2</f>
        <v>5741.1612903225805</v>
      </c>
      <c r="AC2" s="7">
        <f t="shared" ref="AC2:AC65" si="2">G2/B2</f>
        <v>0</v>
      </c>
      <c r="AD2" s="7">
        <f t="shared" ref="AD2:AD65" si="3">H2/B2</f>
        <v>5489.5161290322585</v>
      </c>
    </row>
    <row r="3" spans="1:30" x14ac:dyDescent="0.3">
      <c r="A3" s="2">
        <v>39845</v>
      </c>
      <c r="B3" s="10">
        <f t="shared" si="0"/>
        <v>28</v>
      </c>
      <c r="C3" s="7">
        <v>343</v>
      </c>
      <c r="D3" s="7">
        <v>22</v>
      </c>
      <c r="E3" s="7">
        <v>163201</v>
      </c>
      <c r="F3" s="7">
        <v>0</v>
      </c>
      <c r="G3" s="7">
        <v>0</v>
      </c>
      <c r="H3" s="7">
        <v>154010</v>
      </c>
      <c r="I3" s="7">
        <v>9191</v>
      </c>
      <c r="J3" s="7">
        <v>0</v>
      </c>
      <c r="K3" s="8">
        <v>222</v>
      </c>
      <c r="L3" s="8">
        <v>14</v>
      </c>
      <c r="M3" s="8">
        <v>112975</v>
      </c>
      <c r="N3" s="8">
        <v>0</v>
      </c>
      <c r="O3" s="8">
        <v>0</v>
      </c>
      <c r="P3" s="8">
        <v>107520</v>
      </c>
      <c r="Q3" s="8">
        <v>5455</v>
      </c>
      <c r="R3" s="8">
        <v>0</v>
      </c>
      <c r="S3" s="9">
        <v>121</v>
      </c>
      <c r="T3" s="9">
        <v>8</v>
      </c>
      <c r="U3" s="9">
        <v>50226</v>
      </c>
      <c r="V3" s="9">
        <v>0</v>
      </c>
      <c r="W3" s="9">
        <v>0</v>
      </c>
      <c r="X3" s="9">
        <v>46490</v>
      </c>
      <c r="Y3" s="9">
        <v>3736</v>
      </c>
      <c r="Z3" s="9">
        <v>0</v>
      </c>
      <c r="AB3" s="7">
        <f t="shared" si="1"/>
        <v>5828.6071428571431</v>
      </c>
      <c r="AC3" s="7">
        <f t="shared" si="2"/>
        <v>0</v>
      </c>
      <c r="AD3" s="7">
        <f t="shared" si="3"/>
        <v>5500.3571428571431</v>
      </c>
    </row>
    <row r="4" spans="1:30" x14ac:dyDescent="0.3">
      <c r="A4" s="2">
        <v>39873</v>
      </c>
      <c r="B4" s="10">
        <f t="shared" si="0"/>
        <v>31</v>
      </c>
      <c r="C4" s="7">
        <v>381</v>
      </c>
      <c r="D4" s="7">
        <v>24</v>
      </c>
      <c r="E4" s="7">
        <v>215008</v>
      </c>
      <c r="F4" s="7">
        <v>0</v>
      </c>
      <c r="G4" s="7">
        <v>0</v>
      </c>
      <c r="H4" s="7">
        <v>204112</v>
      </c>
      <c r="I4" s="7">
        <v>10896</v>
      </c>
      <c r="J4" s="7">
        <v>0</v>
      </c>
      <c r="K4" s="8">
        <v>279</v>
      </c>
      <c r="L4" s="8">
        <v>15</v>
      </c>
      <c r="M4" s="8">
        <v>155649</v>
      </c>
      <c r="N4" s="8">
        <v>0</v>
      </c>
      <c r="O4" s="8">
        <v>0</v>
      </c>
      <c r="P4" s="8">
        <v>147080</v>
      </c>
      <c r="Q4" s="8">
        <v>8569</v>
      </c>
      <c r="R4" s="8">
        <v>0</v>
      </c>
      <c r="S4" s="9">
        <v>102</v>
      </c>
      <c r="T4" s="9">
        <v>9</v>
      </c>
      <c r="U4" s="9">
        <v>59359</v>
      </c>
      <c r="V4" s="9">
        <v>0</v>
      </c>
      <c r="W4" s="9">
        <v>0</v>
      </c>
      <c r="X4" s="9">
        <v>57032</v>
      </c>
      <c r="Y4" s="9">
        <v>2327</v>
      </c>
      <c r="Z4" s="9">
        <v>0</v>
      </c>
      <c r="AB4" s="7">
        <f t="shared" si="1"/>
        <v>6935.7419354838712</v>
      </c>
      <c r="AC4" s="7">
        <f t="shared" si="2"/>
        <v>0</v>
      </c>
      <c r="AD4" s="7">
        <f t="shared" si="3"/>
        <v>6584.2580645161288</v>
      </c>
    </row>
    <row r="5" spans="1:30" x14ac:dyDescent="0.3">
      <c r="A5" s="2">
        <v>39904</v>
      </c>
      <c r="B5" s="10">
        <f t="shared" si="0"/>
        <v>30</v>
      </c>
      <c r="C5" s="7">
        <v>369</v>
      </c>
      <c r="D5" s="7">
        <v>21</v>
      </c>
      <c r="E5" s="7">
        <v>204432</v>
      </c>
      <c r="F5" s="7">
        <v>0</v>
      </c>
      <c r="G5" s="7">
        <v>0</v>
      </c>
      <c r="H5" s="7">
        <v>195411</v>
      </c>
      <c r="I5" s="7">
        <v>9021</v>
      </c>
      <c r="J5" s="7">
        <v>0</v>
      </c>
      <c r="K5" s="8">
        <v>236</v>
      </c>
      <c r="L5" s="8">
        <v>13</v>
      </c>
      <c r="M5" s="8">
        <v>124708</v>
      </c>
      <c r="N5" s="8">
        <v>0</v>
      </c>
      <c r="O5" s="8">
        <v>0</v>
      </c>
      <c r="P5" s="8">
        <v>118054</v>
      </c>
      <c r="Q5" s="8">
        <v>6654</v>
      </c>
      <c r="R5" s="8">
        <v>0</v>
      </c>
      <c r="S5" s="9">
        <v>133</v>
      </c>
      <c r="T5" s="9">
        <v>8</v>
      </c>
      <c r="U5" s="9">
        <v>79724</v>
      </c>
      <c r="V5" s="9">
        <v>0</v>
      </c>
      <c r="W5" s="9">
        <v>0</v>
      </c>
      <c r="X5" s="9">
        <v>77357</v>
      </c>
      <c r="Y5" s="9">
        <v>2367</v>
      </c>
      <c r="Z5" s="9">
        <v>0</v>
      </c>
      <c r="AB5" s="7">
        <f t="shared" si="1"/>
        <v>6814.4</v>
      </c>
      <c r="AC5" s="7">
        <f t="shared" si="2"/>
        <v>0</v>
      </c>
      <c r="AD5" s="7">
        <f t="shared" si="3"/>
        <v>6513.7</v>
      </c>
    </row>
    <row r="6" spans="1:30" x14ac:dyDescent="0.3">
      <c r="A6" s="2">
        <v>39934</v>
      </c>
      <c r="B6" s="10">
        <f t="shared" si="0"/>
        <v>31</v>
      </c>
      <c r="C6" s="7">
        <v>339</v>
      </c>
      <c r="D6" s="7">
        <v>24</v>
      </c>
      <c r="E6" s="7">
        <v>229327</v>
      </c>
      <c r="F6" s="7">
        <v>0</v>
      </c>
      <c r="G6" s="7">
        <v>0</v>
      </c>
      <c r="H6" s="7">
        <v>219787</v>
      </c>
      <c r="I6" s="7">
        <v>9540</v>
      </c>
      <c r="J6" s="7">
        <v>0</v>
      </c>
      <c r="K6" s="8">
        <v>225</v>
      </c>
      <c r="L6" s="8">
        <v>15</v>
      </c>
      <c r="M6" s="8">
        <v>165081</v>
      </c>
      <c r="N6" s="8">
        <v>0</v>
      </c>
      <c r="O6" s="8">
        <v>0</v>
      </c>
      <c r="P6" s="8">
        <v>158006</v>
      </c>
      <c r="Q6" s="8">
        <v>7075</v>
      </c>
      <c r="R6" s="8">
        <v>0</v>
      </c>
      <c r="S6" s="9">
        <v>114</v>
      </c>
      <c r="T6" s="9">
        <v>9</v>
      </c>
      <c r="U6" s="9">
        <v>64246</v>
      </c>
      <c r="V6" s="9">
        <v>0</v>
      </c>
      <c r="W6" s="9">
        <v>0</v>
      </c>
      <c r="X6" s="9">
        <v>61781</v>
      </c>
      <c r="Y6" s="9">
        <v>2465</v>
      </c>
      <c r="Z6" s="9">
        <v>0</v>
      </c>
      <c r="AB6" s="7">
        <f t="shared" si="1"/>
        <v>7397.6451612903229</v>
      </c>
      <c r="AC6" s="7">
        <f t="shared" si="2"/>
        <v>0</v>
      </c>
      <c r="AD6" s="7">
        <f t="shared" si="3"/>
        <v>7089.9032258064517</v>
      </c>
    </row>
    <row r="7" spans="1:30" x14ac:dyDescent="0.3">
      <c r="A7" s="2">
        <v>39965</v>
      </c>
      <c r="B7" s="10">
        <f t="shared" si="0"/>
        <v>30</v>
      </c>
      <c r="C7" s="7">
        <v>348</v>
      </c>
      <c r="D7" s="7">
        <v>24</v>
      </c>
      <c r="E7" s="7">
        <v>229237</v>
      </c>
      <c r="F7" s="7">
        <v>0</v>
      </c>
      <c r="G7" s="7">
        <v>0</v>
      </c>
      <c r="H7" s="7">
        <v>222064</v>
      </c>
      <c r="I7" s="7">
        <v>7173</v>
      </c>
      <c r="J7" s="7">
        <v>0</v>
      </c>
      <c r="K7" s="8">
        <v>235</v>
      </c>
      <c r="L7" s="8">
        <v>15</v>
      </c>
      <c r="M7" s="8">
        <v>162640</v>
      </c>
      <c r="N7" s="8">
        <v>0</v>
      </c>
      <c r="O7" s="8">
        <v>0</v>
      </c>
      <c r="P7" s="8">
        <v>157228</v>
      </c>
      <c r="Q7" s="8">
        <v>5412</v>
      </c>
      <c r="R7" s="8">
        <v>0</v>
      </c>
      <c r="S7" s="9">
        <v>113</v>
      </c>
      <c r="T7" s="9">
        <v>9</v>
      </c>
      <c r="U7" s="9">
        <v>66597</v>
      </c>
      <c r="V7" s="9">
        <v>0</v>
      </c>
      <c r="W7" s="9">
        <v>0</v>
      </c>
      <c r="X7" s="9">
        <v>64836</v>
      </c>
      <c r="Y7" s="9">
        <v>1761</v>
      </c>
      <c r="Z7" s="9">
        <v>0</v>
      </c>
      <c r="AB7" s="7">
        <f t="shared" si="1"/>
        <v>7641.2333333333336</v>
      </c>
      <c r="AC7" s="7">
        <f t="shared" si="2"/>
        <v>0</v>
      </c>
      <c r="AD7" s="7">
        <f t="shared" si="3"/>
        <v>7402.1333333333332</v>
      </c>
    </row>
    <row r="8" spans="1:30" x14ac:dyDescent="0.3">
      <c r="A8" s="2">
        <v>39995</v>
      </c>
      <c r="B8" s="10">
        <f t="shared" si="0"/>
        <v>31</v>
      </c>
      <c r="C8" s="7">
        <v>343</v>
      </c>
      <c r="D8" s="7">
        <v>22</v>
      </c>
      <c r="E8" s="7">
        <v>214983</v>
      </c>
      <c r="F8" s="7">
        <v>0</v>
      </c>
      <c r="G8" s="7">
        <v>0</v>
      </c>
      <c r="H8" s="7">
        <v>206019</v>
      </c>
      <c r="I8" s="7">
        <v>8964</v>
      </c>
      <c r="J8" s="7">
        <v>0</v>
      </c>
      <c r="K8" s="8">
        <v>235</v>
      </c>
      <c r="L8" s="8">
        <v>14</v>
      </c>
      <c r="M8" s="8">
        <v>149607</v>
      </c>
      <c r="N8" s="8">
        <v>0</v>
      </c>
      <c r="O8" s="8">
        <v>0</v>
      </c>
      <c r="P8" s="8">
        <v>143405</v>
      </c>
      <c r="Q8" s="8">
        <v>6202</v>
      </c>
      <c r="R8" s="8">
        <v>0</v>
      </c>
      <c r="S8" s="9">
        <v>108</v>
      </c>
      <c r="T8" s="9">
        <v>8</v>
      </c>
      <c r="U8" s="9">
        <v>65376</v>
      </c>
      <c r="V8" s="9">
        <v>0</v>
      </c>
      <c r="W8" s="9">
        <v>0</v>
      </c>
      <c r="X8" s="9">
        <v>62614</v>
      </c>
      <c r="Y8" s="9">
        <v>2762</v>
      </c>
      <c r="Z8" s="9">
        <v>0</v>
      </c>
      <c r="AB8" s="7">
        <f t="shared" si="1"/>
        <v>6934.9354838709678</v>
      </c>
      <c r="AC8" s="7">
        <f t="shared" si="2"/>
        <v>0</v>
      </c>
      <c r="AD8" s="7">
        <f t="shared" si="3"/>
        <v>6645.7741935483873</v>
      </c>
    </row>
    <row r="9" spans="1:30" x14ac:dyDescent="0.3">
      <c r="A9" s="2">
        <v>40026</v>
      </c>
      <c r="B9" s="10">
        <f t="shared" si="0"/>
        <v>31</v>
      </c>
      <c r="C9" s="7">
        <v>364</v>
      </c>
      <c r="D9" s="7">
        <v>22</v>
      </c>
      <c r="E9" s="7">
        <v>234431</v>
      </c>
      <c r="F9" s="7">
        <v>0</v>
      </c>
      <c r="G9" s="7">
        <v>0</v>
      </c>
      <c r="H9" s="7">
        <v>224916</v>
      </c>
      <c r="I9" s="7">
        <v>9515</v>
      </c>
      <c r="J9" s="7">
        <v>0</v>
      </c>
      <c r="K9" s="8">
        <v>266</v>
      </c>
      <c r="L9" s="8">
        <v>14</v>
      </c>
      <c r="M9" s="8">
        <v>178174</v>
      </c>
      <c r="N9" s="8">
        <v>0</v>
      </c>
      <c r="O9" s="8">
        <v>0</v>
      </c>
      <c r="P9" s="8">
        <v>171501</v>
      </c>
      <c r="Q9" s="8">
        <v>6673</v>
      </c>
      <c r="R9" s="8">
        <v>0</v>
      </c>
      <c r="S9" s="9">
        <v>98</v>
      </c>
      <c r="T9" s="9">
        <v>8</v>
      </c>
      <c r="U9" s="9">
        <v>56257</v>
      </c>
      <c r="V9" s="9">
        <v>0</v>
      </c>
      <c r="W9" s="9">
        <v>0</v>
      </c>
      <c r="X9" s="9">
        <v>53415</v>
      </c>
      <c r="Y9" s="9">
        <v>2842</v>
      </c>
      <c r="Z9" s="9">
        <v>0</v>
      </c>
      <c r="AB9" s="7">
        <f t="shared" si="1"/>
        <v>7562.2903225806449</v>
      </c>
      <c r="AC9" s="7">
        <f t="shared" si="2"/>
        <v>0</v>
      </c>
      <c r="AD9" s="7">
        <f t="shared" si="3"/>
        <v>7255.3548387096771</v>
      </c>
    </row>
    <row r="10" spans="1:30" x14ac:dyDescent="0.3">
      <c r="A10" s="2">
        <v>40057</v>
      </c>
      <c r="B10" s="10">
        <f t="shared" si="0"/>
        <v>30</v>
      </c>
      <c r="C10" s="7">
        <v>380</v>
      </c>
      <c r="D10" s="7">
        <v>19</v>
      </c>
      <c r="E10" s="7">
        <v>227689</v>
      </c>
      <c r="F10" s="7">
        <v>0</v>
      </c>
      <c r="G10" s="7">
        <v>0</v>
      </c>
      <c r="H10" s="7">
        <v>219137</v>
      </c>
      <c r="I10" s="7">
        <v>8552</v>
      </c>
      <c r="J10" s="7">
        <v>0</v>
      </c>
      <c r="K10" s="8">
        <v>262</v>
      </c>
      <c r="L10" s="8">
        <v>12</v>
      </c>
      <c r="M10" s="8">
        <v>156695</v>
      </c>
      <c r="N10" s="8">
        <v>0</v>
      </c>
      <c r="O10" s="8">
        <v>0</v>
      </c>
      <c r="P10" s="8">
        <v>150739</v>
      </c>
      <c r="Q10" s="8">
        <v>5956</v>
      </c>
      <c r="R10" s="8">
        <v>0</v>
      </c>
      <c r="S10" s="9">
        <v>118</v>
      </c>
      <c r="T10" s="9">
        <v>7</v>
      </c>
      <c r="U10" s="9">
        <v>70994</v>
      </c>
      <c r="V10" s="9">
        <v>0</v>
      </c>
      <c r="W10" s="9">
        <v>0</v>
      </c>
      <c r="X10" s="9">
        <v>68398</v>
      </c>
      <c r="Y10" s="9">
        <v>2596</v>
      </c>
      <c r="Z10" s="9">
        <v>0</v>
      </c>
      <c r="AB10" s="7">
        <f t="shared" si="1"/>
        <v>7589.6333333333332</v>
      </c>
      <c r="AC10" s="7">
        <f t="shared" si="2"/>
        <v>0</v>
      </c>
      <c r="AD10" s="7">
        <f t="shared" si="3"/>
        <v>7304.5666666666666</v>
      </c>
    </row>
    <row r="11" spans="1:30" x14ac:dyDescent="0.3">
      <c r="A11" s="2">
        <v>40087</v>
      </c>
      <c r="B11" s="10">
        <f t="shared" si="0"/>
        <v>31</v>
      </c>
      <c r="C11" s="7">
        <v>380</v>
      </c>
      <c r="D11" s="7">
        <v>22</v>
      </c>
      <c r="E11" s="7">
        <v>251967</v>
      </c>
      <c r="F11" s="7">
        <v>0</v>
      </c>
      <c r="G11" s="7">
        <v>0</v>
      </c>
      <c r="H11" s="7">
        <v>242823</v>
      </c>
      <c r="I11" s="7">
        <v>9144</v>
      </c>
      <c r="J11" s="7">
        <v>0</v>
      </c>
      <c r="K11" s="8">
        <v>270</v>
      </c>
      <c r="L11" s="8">
        <v>14</v>
      </c>
      <c r="M11" s="8">
        <v>191533</v>
      </c>
      <c r="N11" s="8">
        <v>0</v>
      </c>
      <c r="O11" s="8">
        <v>0</v>
      </c>
      <c r="P11" s="8">
        <v>185472</v>
      </c>
      <c r="Q11" s="8">
        <v>6061</v>
      </c>
      <c r="R11" s="8">
        <v>0</v>
      </c>
      <c r="S11" s="9">
        <v>110</v>
      </c>
      <c r="T11" s="9">
        <v>8</v>
      </c>
      <c r="U11" s="9">
        <v>60434</v>
      </c>
      <c r="V11" s="9">
        <v>0</v>
      </c>
      <c r="W11" s="9">
        <v>0</v>
      </c>
      <c r="X11" s="9">
        <v>57351</v>
      </c>
      <c r="Y11" s="9">
        <v>3083</v>
      </c>
      <c r="Z11" s="9">
        <v>0</v>
      </c>
      <c r="AB11" s="7">
        <f t="shared" si="1"/>
        <v>8127.9677419354839</v>
      </c>
      <c r="AC11" s="7">
        <f t="shared" si="2"/>
        <v>0</v>
      </c>
      <c r="AD11" s="7">
        <f t="shared" si="3"/>
        <v>7833</v>
      </c>
    </row>
    <row r="12" spans="1:30" x14ac:dyDescent="0.3">
      <c r="A12" s="2">
        <v>40118</v>
      </c>
      <c r="B12" s="10">
        <f t="shared" si="0"/>
        <v>30</v>
      </c>
      <c r="C12" s="7">
        <v>400</v>
      </c>
      <c r="D12" s="7">
        <v>19</v>
      </c>
      <c r="E12" s="7">
        <v>297479</v>
      </c>
      <c r="F12" s="7">
        <v>0</v>
      </c>
      <c r="G12" s="7">
        <v>0</v>
      </c>
      <c r="H12" s="7">
        <v>286152</v>
      </c>
      <c r="I12" s="7">
        <v>11327</v>
      </c>
      <c r="J12" s="7">
        <v>0</v>
      </c>
      <c r="K12" s="8">
        <v>291</v>
      </c>
      <c r="L12" s="8">
        <v>12</v>
      </c>
      <c r="M12" s="8">
        <v>231228</v>
      </c>
      <c r="N12" s="8">
        <v>0</v>
      </c>
      <c r="O12" s="8">
        <v>0</v>
      </c>
      <c r="P12" s="8">
        <v>222717</v>
      </c>
      <c r="Q12" s="8">
        <v>8511</v>
      </c>
      <c r="R12" s="8">
        <v>0</v>
      </c>
      <c r="S12" s="9">
        <v>109</v>
      </c>
      <c r="T12" s="9">
        <v>7</v>
      </c>
      <c r="U12" s="9">
        <v>66251</v>
      </c>
      <c r="V12" s="9">
        <v>0</v>
      </c>
      <c r="W12" s="9">
        <v>0</v>
      </c>
      <c r="X12" s="9">
        <v>63435</v>
      </c>
      <c r="Y12" s="9">
        <v>2816</v>
      </c>
      <c r="Z12" s="9">
        <v>0</v>
      </c>
      <c r="AB12" s="7">
        <f t="shared" si="1"/>
        <v>9915.9666666666672</v>
      </c>
      <c r="AC12" s="7">
        <f t="shared" si="2"/>
        <v>0</v>
      </c>
      <c r="AD12" s="7">
        <f t="shared" si="3"/>
        <v>9538.4</v>
      </c>
    </row>
    <row r="13" spans="1:30" x14ac:dyDescent="0.3">
      <c r="A13" s="2">
        <v>40148</v>
      </c>
      <c r="B13" s="10">
        <f t="shared" si="0"/>
        <v>31</v>
      </c>
      <c r="C13" s="7">
        <v>368</v>
      </c>
      <c r="D13" s="7">
        <v>20</v>
      </c>
      <c r="E13" s="7">
        <v>276578</v>
      </c>
      <c r="F13" s="7">
        <v>0</v>
      </c>
      <c r="G13" s="7">
        <v>0</v>
      </c>
      <c r="H13" s="7">
        <v>268233</v>
      </c>
      <c r="I13" s="7">
        <v>8345</v>
      </c>
      <c r="J13" s="7">
        <v>0</v>
      </c>
      <c r="K13" s="8">
        <v>256</v>
      </c>
      <c r="L13" s="8">
        <v>13</v>
      </c>
      <c r="M13" s="8">
        <v>211035</v>
      </c>
      <c r="N13" s="8">
        <v>0</v>
      </c>
      <c r="O13" s="8">
        <v>0</v>
      </c>
      <c r="P13" s="8">
        <v>204974</v>
      </c>
      <c r="Q13" s="8">
        <v>6061</v>
      </c>
      <c r="R13" s="8">
        <v>0</v>
      </c>
      <c r="S13" s="9">
        <v>112</v>
      </c>
      <c r="T13" s="9">
        <v>7</v>
      </c>
      <c r="U13" s="9">
        <v>65543</v>
      </c>
      <c r="V13" s="9">
        <v>0</v>
      </c>
      <c r="W13" s="9">
        <v>0</v>
      </c>
      <c r="X13" s="9">
        <v>63259</v>
      </c>
      <c r="Y13" s="9">
        <v>2284</v>
      </c>
      <c r="Z13" s="9">
        <v>0</v>
      </c>
      <c r="AB13" s="7">
        <f t="shared" si="1"/>
        <v>8921.8709677419356</v>
      </c>
      <c r="AC13" s="7">
        <f t="shared" si="2"/>
        <v>0</v>
      </c>
      <c r="AD13" s="7">
        <f t="shared" si="3"/>
        <v>8652.677419354839</v>
      </c>
    </row>
    <row r="14" spans="1:30" x14ac:dyDescent="0.3">
      <c r="A14" s="2">
        <v>40179</v>
      </c>
      <c r="B14" s="10">
        <f t="shared" si="0"/>
        <v>31</v>
      </c>
      <c r="C14" s="7">
        <v>398</v>
      </c>
      <c r="D14" s="7">
        <v>27</v>
      </c>
      <c r="E14" s="7">
        <v>232485</v>
      </c>
      <c r="F14" s="7">
        <v>0</v>
      </c>
      <c r="G14" s="7">
        <v>0</v>
      </c>
      <c r="H14" s="7">
        <v>223919</v>
      </c>
      <c r="I14" s="7">
        <v>8566</v>
      </c>
      <c r="J14" s="7">
        <v>0</v>
      </c>
      <c r="K14" s="8">
        <v>288</v>
      </c>
      <c r="L14" s="8">
        <v>15</v>
      </c>
      <c r="M14" s="8">
        <v>163095</v>
      </c>
      <c r="N14" s="8">
        <v>0</v>
      </c>
      <c r="O14" s="8">
        <v>0</v>
      </c>
      <c r="P14" s="8">
        <v>156318</v>
      </c>
      <c r="Q14" s="8">
        <v>6777</v>
      </c>
      <c r="R14" s="8">
        <v>0</v>
      </c>
      <c r="S14" s="9">
        <v>110</v>
      </c>
      <c r="T14" s="9">
        <v>12</v>
      </c>
      <c r="U14" s="9">
        <v>69390</v>
      </c>
      <c r="V14" s="9">
        <v>0</v>
      </c>
      <c r="W14" s="9">
        <v>0</v>
      </c>
      <c r="X14" s="9">
        <v>67601</v>
      </c>
      <c r="Y14" s="9">
        <v>1789</v>
      </c>
      <c r="Z14" s="9">
        <v>0</v>
      </c>
      <c r="AB14" s="7">
        <f t="shared" si="1"/>
        <v>7499.5161290322585</v>
      </c>
      <c r="AC14" s="7">
        <f t="shared" si="2"/>
        <v>0</v>
      </c>
      <c r="AD14" s="7">
        <f t="shared" si="3"/>
        <v>7223.1935483870966</v>
      </c>
    </row>
    <row r="15" spans="1:30" x14ac:dyDescent="0.3">
      <c r="A15" s="2">
        <v>40210</v>
      </c>
      <c r="B15" s="10">
        <f t="shared" si="0"/>
        <v>28</v>
      </c>
      <c r="C15" s="7">
        <v>265</v>
      </c>
      <c r="D15" s="7">
        <v>22</v>
      </c>
      <c r="E15" s="7">
        <v>195648</v>
      </c>
      <c r="F15" s="7">
        <v>0</v>
      </c>
      <c r="G15" s="7">
        <v>0</v>
      </c>
      <c r="H15" s="7">
        <v>189747</v>
      </c>
      <c r="I15" s="7">
        <v>5901</v>
      </c>
      <c r="J15" s="7">
        <v>0</v>
      </c>
      <c r="K15" s="8">
        <v>218</v>
      </c>
      <c r="L15" s="8">
        <v>16</v>
      </c>
      <c r="M15" s="8">
        <v>171116</v>
      </c>
      <c r="N15" s="8">
        <v>0</v>
      </c>
      <c r="O15" s="8">
        <v>0</v>
      </c>
      <c r="P15" s="8">
        <v>166369</v>
      </c>
      <c r="Q15" s="8">
        <v>4747</v>
      </c>
      <c r="R15" s="8">
        <v>0</v>
      </c>
      <c r="S15" s="9">
        <v>47</v>
      </c>
      <c r="T15" s="9">
        <v>6</v>
      </c>
      <c r="U15" s="9">
        <v>24532</v>
      </c>
      <c r="V15" s="9">
        <v>0</v>
      </c>
      <c r="W15" s="9">
        <v>0</v>
      </c>
      <c r="X15" s="9">
        <v>23378</v>
      </c>
      <c r="Y15" s="9">
        <v>1154</v>
      </c>
      <c r="Z15" s="9">
        <v>0</v>
      </c>
      <c r="AB15" s="7">
        <f t="shared" si="1"/>
        <v>6987.4285714285716</v>
      </c>
      <c r="AC15" s="7">
        <f t="shared" si="2"/>
        <v>0</v>
      </c>
      <c r="AD15" s="7">
        <f t="shared" si="3"/>
        <v>6776.6785714285716</v>
      </c>
    </row>
    <row r="16" spans="1:30" x14ac:dyDescent="0.3">
      <c r="A16" s="2">
        <v>40238</v>
      </c>
      <c r="B16" s="10">
        <f t="shared" si="0"/>
        <v>31</v>
      </c>
      <c r="C16" s="7">
        <v>441</v>
      </c>
      <c r="D16" s="7">
        <v>26</v>
      </c>
      <c r="E16" s="7">
        <v>285445</v>
      </c>
      <c r="F16" s="7">
        <v>0</v>
      </c>
      <c r="G16" s="7">
        <v>0</v>
      </c>
      <c r="H16" s="7">
        <v>274355</v>
      </c>
      <c r="I16" s="7">
        <v>11090</v>
      </c>
      <c r="J16" s="7">
        <v>0</v>
      </c>
      <c r="K16" s="8">
        <v>261</v>
      </c>
      <c r="L16" s="8">
        <v>16</v>
      </c>
      <c r="M16" s="8">
        <v>201142</v>
      </c>
      <c r="N16" s="8">
        <v>0</v>
      </c>
      <c r="O16" s="8">
        <v>0</v>
      </c>
      <c r="P16" s="8">
        <v>193338</v>
      </c>
      <c r="Q16" s="8">
        <v>7804</v>
      </c>
      <c r="R16" s="8">
        <v>0</v>
      </c>
      <c r="S16" s="9">
        <v>180</v>
      </c>
      <c r="T16" s="9">
        <v>10</v>
      </c>
      <c r="U16" s="9">
        <v>84303</v>
      </c>
      <c r="V16" s="9">
        <v>0</v>
      </c>
      <c r="W16" s="9">
        <v>0</v>
      </c>
      <c r="X16" s="9">
        <v>81017</v>
      </c>
      <c r="Y16" s="9">
        <v>3286</v>
      </c>
      <c r="Z16" s="9">
        <v>0</v>
      </c>
      <c r="AB16" s="7">
        <f t="shared" si="1"/>
        <v>9207.9032258064508</v>
      </c>
      <c r="AC16" s="7">
        <f t="shared" si="2"/>
        <v>0</v>
      </c>
      <c r="AD16" s="7">
        <f t="shared" si="3"/>
        <v>8850.1612903225814</v>
      </c>
    </row>
    <row r="17" spans="1:30" x14ac:dyDescent="0.3">
      <c r="A17" s="2">
        <v>40269</v>
      </c>
      <c r="B17" s="10">
        <f t="shared" si="0"/>
        <v>30</v>
      </c>
      <c r="C17" s="7">
        <v>385</v>
      </c>
      <c r="D17" s="7">
        <v>23</v>
      </c>
      <c r="E17" s="7">
        <v>235412</v>
      </c>
      <c r="F17" s="7">
        <v>0</v>
      </c>
      <c r="G17" s="7">
        <v>0</v>
      </c>
      <c r="H17" s="7">
        <v>225499</v>
      </c>
      <c r="I17" s="7">
        <v>9913</v>
      </c>
      <c r="J17" s="7">
        <v>0</v>
      </c>
      <c r="K17" s="8">
        <v>241</v>
      </c>
      <c r="L17" s="8">
        <v>14</v>
      </c>
      <c r="M17" s="8">
        <v>163174</v>
      </c>
      <c r="N17" s="8">
        <v>0</v>
      </c>
      <c r="O17" s="8">
        <v>0</v>
      </c>
      <c r="P17" s="8">
        <v>155838</v>
      </c>
      <c r="Q17" s="8">
        <v>7336</v>
      </c>
      <c r="R17" s="8">
        <v>0</v>
      </c>
      <c r="S17" s="9">
        <v>144</v>
      </c>
      <c r="T17" s="9">
        <v>9</v>
      </c>
      <c r="U17" s="9">
        <v>72238</v>
      </c>
      <c r="V17" s="9">
        <v>0</v>
      </c>
      <c r="W17" s="9">
        <v>0</v>
      </c>
      <c r="X17" s="9">
        <v>69661</v>
      </c>
      <c r="Y17" s="9">
        <v>2577</v>
      </c>
      <c r="Z17" s="9">
        <v>0</v>
      </c>
      <c r="AB17" s="7">
        <f t="shared" si="1"/>
        <v>7847.0666666666666</v>
      </c>
      <c r="AC17" s="7">
        <f t="shared" si="2"/>
        <v>0</v>
      </c>
      <c r="AD17" s="7">
        <f t="shared" si="3"/>
        <v>7516.6333333333332</v>
      </c>
    </row>
    <row r="18" spans="1:30" x14ac:dyDescent="0.3">
      <c r="A18" s="2">
        <v>40299</v>
      </c>
      <c r="B18" s="10">
        <f t="shared" si="0"/>
        <v>31</v>
      </c>
      <c r="C18" s="7">
        <v>425</v>
      </c>
      <c r="D18" s="7">
        <v>23</v>
      </c>
      <c r="E18" s="7">
        <v>273789</v>
      </c>
      <c r="F18" s="7">
        <v>0</v>
      </c>
      <c r="G18" s="7">
        <v>0</v>
      </c>
      <c r="H18" s="7">
        <v>255824</v>
      </c>
      <c r="I18" s="7">
        <v>17965</v>
      </c>
      <c r="J18" s="7">
        <v>0</v>
      </c>
      <c r="K18" s="8">
        <v>262</v>
      </c>
      <c r="L18" s="8">
        <v>13</v>
      </c>
      <c r="M18" s="8">
        <v>195441</v>
      </c>
      <c r="N18" s="8">
        <v>0</v>
      </c>
      <c r="O18" s="8">
        <v>0</v>
      </c>
      <c r="P18" s="8">
        <v>182331</v>
      </c>
      <c r="Q18" s="8">
        <v>13110</v>
      </c>
      <c r="R18" s="8">
        <v>0</v>
      </c>
      <c r="S18" s="9">
        <v>163</v>
      </c>
      <c r="T18" s="9">
        <v>10</v>
      </c>
      <c r="U18" s="9">
        <v>78348</v>
      </c>
      <c r="V18" s="9">
        <v>0</v>
      </c>
      <c r="W18" s="9">
        <v>0</v>
      </c>
      <c r="X18" s="9">
        <v>73493</v>
      </c>
      <c r="Y18" s="9">
        <v>4855</v>
      </c>
      <c r="Z18" s="9">
        <v>0</v>
      </c>
      <c r="AB18" s="7">
        <f t="shared" si="1"/>
        <v>8831.9032258064508</v>
      </c>
      <c r="AC18" s="7">
        <f t="shared" si="2"/>
        <v>0</v>
      </c>
      <c r="AD18" s="7">
        <f t="shared" si="3"/>
        <v>8252.3870967741932</v>
      </c>
    </row>
    <row r="19" spans="1:30" x14ac:dyDescent="0.3">
      <c r="A19" s="2">
        <v>40330</v>
      </c>
      <c r="B19" s="10">
        <f t="shared" si="0"/>
        <v>30</v>
      </c>
      <c r="C19" s="7">
        <v>319</v>
      </c>
      <c r="D19" s="7">
        <v>21</v>
      </c>
      <c r="E19" s="7">
        <v>223313</v>
      </c>
      <c r="F19" s="7">
        <v>0</v>
      </c>
      <c r="G19" s="7">
        <v>0</v>
      </c>
      <c r="H19" s="7">
        <v>215299</v>
      </c>
      <c r="I19" s="7">
        <v>8014</v>
      </c>
      <c r="J19" s="7">
        <v>0</v>
      </c>
      <c r="K19" s="8">
        <v>199</v>
      </c>
      <c r="L19" s="8">
        <v>13</v>
      </c>
      <c r="M19" s="8">
        <v>158898</v>
      </c>
      <c r="N19" s="8">
        <v>0</v>
      </c>
      <c r="O19" s="8">
        <v>0</v>
      </c>
      <c r="P19" s="8">
        <v>153369</v>
      </c>
      <c r="Q19" s="8">
        <v>5529</v>
      </c>
      <c r="R19" s="8">
        <v>0</v>
      </c>
      <c r="S19" s="9">
        <v>120</v>
      </c>
      <c r="T19" s="9">
        <v>8</v>
      </c>
      <c r="U19" s="9">
        <v>64415</v>
      </c>
      <c r="V19" s="9">
        <v>0</v>
      </c>
      <c r="W19" s="9">
        <v>0</v>
      </c>
      <c r="X19" s="9">
        <v>61930</v>
      </c>
      <c r="Y19" s="9">
        <v>2485</v>
      </c>
      <c r="Z19" s="9">
        <v>0</v>
      </c>
      <c r="AB19" s="7">
        <f t="shared" si="1"/>
        <v>7443.7666666666664</v>
      </c>
      <c r="AC19" s="7">
        <f t="shared" si="2"/>
        <v>0</v>
      </c>
      <c r="AD19" s="7">
        <f t="shared" si="3"/>
        <v>7176.6333333333332</v>
      </c>
    </row>
    <row r="20" spans="1:30" x14ac:dyDescent="0.3">
      <c r="A20" s="2">
        <v>40360</v>
      </c>
      <c r="B20" s="10">
        <f t="shared" si="0"/>
        <v>31</v>
      </c>
      <c r="C20" s="7">
        <v>395</v>
      </c>
      <c r="D20" s="7">
        <v>23</v>
      </c>
      <c r="E20" s="7">
        <v>272174</v>
      </c>
      <c r="F20" s="7">
        <v>0</v>
      </c>
      <c r="G20" s="7">
        <v>0</v>
      </c>
      <c r="H20" s="7">
        <v>245039</v>
      </c>
      <c r="I20" s="7">
        <v>27135</v>
      </c>
      <c r="J20" s="7">
        <v>0</v>
      </c>
      <c r="K20" s="8">
        <v>253</v>
      </c>
      <c r="L20" s="8">
        <v>14</v>
      </c>
      <c r="M20" s="8">
        <v>184772</v>
      </c>
      <c r="N20" s="8">
        <v>0</v>
      </c>
      <c r="O20" s="8">
        <v>0</v>
      </c>
      <c r="P20" s="8">
        <v>160951</v>
      </c>
      <c r="Q20" s="8">
        <v>23821</v>
      </c>
      <c r="R20" s="8">
        <v>0</v>
      </c>
      <c r="S20" s="9">
        <v>142</v>
      </c>
      <c r="T20" s="9">
        <v>9</v>
      </c>
      <c r="U20" s="9">
        <v>87402</v>
      </c>
      <c r="V20" s="9">
        <v>0</v>
      </c>
      <c r="W20" s="9">
        <v>0</v>
      </c>
      <c r="X20" s="9">
        <v>84088</v>
      </c>
      <c r="Y20" s="9">
        <v>3314</v>
      </c>
      <c r="Z20" s="9">
        <v>0</v>
      </c>
      <c r="AB20" s="7">
        <f t="shared" si="1"/>
        <v>8779.8064516129034</v>
      </c>
      <c r="AC20" s="7">
        <f t="shared" si="2"/>
        <v>0</v>
      </c>
      <c r="AD20" s="7">
        <f t="shared" si="3"/>
        <v>7904.4838709677415</v>
      </c>
    </row>
    <row r="21" spans="1:30" x14ac:dyDescent="0.3">
      <c r="A21" s="2">
        <v>40391</v>
      </c>
      <c r="B21" s="10">
        <f t="shared" si="0"/>
        <v>31</v>
      </c>
      <c r="C21" s="7">
        <v>407</v>
      </c>
      <c r="D21" s="7">
        <v>21</v>
      </c>
      <c r="E21" s="7">
        <v>243791</v>
      </c>
      <c r="F21" s="7">
        <v>0</v>
      </c>
      <c r="G21" s="7">
        <v>0</v>
      </c>
      <c r="H21" s="7">
        <v>232020</v>
      </c>
      <c r="I21" s="7">
        <v>11771</v>
      </c>
      <c r="J21" s="7">
        <v>0</v>
      </c>
      <c r="K21" s="8">
        <v>262</v>
      </c>
      <c r="L21" s="8">
        <v>13</v>
      </c>
      <c r="M21" s="8">
        <v>162095</v>
      </c>
      <c r="N21" s="8">
        <v>0</v>
      </c>
      <c r="O21" s="8">
        <v>0</v>
      </c>
      <c r="P21" s="8">
        <v>153946</v>
      </c>
      <c r="Q21" s="8">
        <v>8149</v>
      </c>
      <c r="R21" s="8">
        <v>0</v>
      </c>
      <c r="S21" s="9">
        <v>145</v>
      </c>
      <c r="T21" s="9">
        <v>8</v>
      </c>
      <c r="U21" s="9">
        <v>81696</v>
      </c>
      <c r="V21" s="9">
        <v>0</v>
      </c>
      <c r="W21" s="9">
        <v>0</v>
      </c>
      <c r="X21" s="9">
        <v>78074</v>
      </c>
      <c r="Y21" s="9">
        <v>3622</v>
      </c>
      <c r="Z21" s="9">
        <v>0</v>
      </c>
      <c r="AB21" s="7">
        <f t="shared" si="1"/>
        <v>7864.2258064516127</v>
      </c>
      <c r="AC21" s="7">
        <f t="shared" si="2"/>
        <v>0</v>
      </c>
      <c r="AD21" s="7">
        <f t="shared" si="3"/>
        <v>7484.5161290322585</v>
      </c>
    </row>
    <row r="22" spans="1:30" x14ac:dyDescent="0.3">
      <c r="A22" s="2">
        <v>40422</v>
      </c>
      <c r="B22" s="10">
        <f t="shared" si="0"/>
        <v>30</v>
      </c>
      <c r="C22" s="7">
        <v>399</v>
      </c>
      <c r="D22" s="7">
        <v>22</v>
      </c>
      <c r="E22" s="7">
        <v>296224</v>
      </c>
      <c r="F22" s="7">
        <v>0</v>
      </c>
      <c r="G22" s="7">
        <v>0</v>
      </c>
      <c r="H22" s="7">
        <v>281674</v>
      </c>
      <c r="I22" s="7">
        <v>14550</v>
      </c>
      <c r="J22" s="7">
        <v>0</v>
      </c>
      <c r="K22" s="8">
        <v>255</v>
      </c>
      <c r="L22" s="8">
        <v>12</v>
      </c>
      <c r="M22" s="8">
        <v>220260</v>
      </c>
      <c r="N22" s="8">
        <v>0</v>
      </c>
      <c r="O22" s="8">
        <v>0</v>
      </c>
      <c r="P22" s="8">
        <v>208111</v>
      </c>
      <c r="Q22" s="8">
        <v>12149</v>
      </c>
      <c r="R22" s="8">
        <v>0</v>
      </c>
      <c r="S22" s="9">
        <v>144</v>
      </c>
      <c r="T22" s="9">
        <v>10</v>
      </c>
      <c r="U22" s="9">
        <v>75964</v>
      </c>
      <c r="V22" s="9">
        <v>0</v>
      </c>
      <c r="W22" s="9">
        <v>0</v>
      </c>
      <c r="X22" s="9">
        <v>73563</v>
      </c>
      <c r="Y22" s="9">
        <v>2401</v>
      </c>
      <c r="Z22" s="9">
        <v>0</v>
      </c>
      <c r="AB22" s="7">
        <f t="shared" si="1"/>
        <v>9874.1333333333332</v>
      </c>
      <c r="AC22" s="7">
        <f t="shared" si="2"/>
        <v>0</v>
      </c>
      <c r="AD22" s="7">
        <f t="shared" si="3"/>
        <v>9389.1333333333332</v>
      </c>
    </row>
    <row r="23" spans="1:30" x14ac:dyDescent="0.3">
      <c r="A23" s="2">
        <v>40452</v>
      </c>
      <c r="B23" s="10">
        <f t="shared" si="0"/>
        <v>31</v>
      </c>
      <c r="C23" s="7">
        <v>361</v>
      </c>
      <c r="D23" s="7">
        <v>18</v>
      </c>
      <c r="E23" s="7">
        <v>265028</v>
      </c>
      <c r="F23" s="7">
        <v>0</v>
      </c>
      <c r="G23" s="7">
        <v>0</v>
      </c>
      <c r="H23" s="7">
        <v>257783</v>
      </c>
      <c r="I23" s="7">
        <v>7245</v>
      </c>
      <c r="J23" s="7">
        <v>0</v>
      </c>
      <c r="K23" s="8">
        <v>239</v>
      </c>
      <c r="L23" s="8">
        <v>13</v>
      </c>
      <c r="M23" s="8">
        <v>178828</v>
      </c>
      <c r="N23" s="8">
        <v>0</v>
      </c>
      <c r="O23" s="8">
        <v>0</v>
      </c>
      <c r="P23" s="8">
        <v>174204</v>
      </c>
      <c r="Q23" s="8">
        <v>4624</v>
      </c>
      <c r="R23" s="8">
        <v>0</v>
      </c>
      <c r="S23" s="9">
        <v>122</v>
      </c>
      <c r="T23" s="9">
        <v>5</v>
      </c>
      <c r="U23" s="9">
        <v>86200</v>
      </c>
      <c r="V23" s="9">
        <v>0</v>
      </c>
      <c r="W23" s="9">
        <v>0</v>
      </c>
      <c r="X23" s="9">
        <v>83579</v>
      </c>
      <c r="Y23" s="9">
        <v>2621</v>
      </c>
      <c r="Z23" s="9">
        <v>0</v>
      </c>
      <c r="AB23" s="7">
        <f t="shared" si="1"/>
        <v>8549.2903225806458</v>
      </c>
      <c r="AC23" s="7">
        <f t="shared" si="2"/>
        <v>0</v>
      </c>
      <c r="AD23" s="7">
        <f t="shared" si="3"/>
        <v>8315.5806451612898</v>
      </c>
    </row>
    <row r="24" spans="1:30" x14ac:dyDescent="0.3">
      <c r="A24" s="2">
        <v>40483</v>
      </c>
      <c r="B24" s="10">
        <f t="shared" si="0"/>
        <v>30</v>
      </c>
      <c r="C24" s="7">
        <v>387</v>
      </c>
      <c r="D24" s="7">
        <v>18</v>
      </c>
      <c r="E24" s="7">
        <v>263760</v>
      </c>
      <c r="F24" s="7">
        <v>0</v>
      </c>
      <c r="G24" s="7">
        <v>0</v>
      </c>
      <c r="H24" s="7">
        <v>256958</v>
      </c>
      <c r="I24" s="7">
        <v>6802</v>
      </c>
      <c r="J24" s="7">
        <v>0</v>
      </c>
      <c r="K24" s="8">
        <v>252</v>
      </c>
      <c r="L24" s="8">
        <v>12</v>
      </c>
      <c r="M24" s="8">
        <v>188965</v>
      </c>
      <c r="N24" s="8">
        <v>0</v>
      </c>
      <c r="O24" s="8">
        <v>0</v>
      </c>
      <c r="P24" s="8">
        <v>184317</v>
      </c>
      <c r="Q24" s="8">
        <v>4648</v>
      </c>
      <c r="R24" s="8">
        <v>0</v>
      </c>
      <c r="S24" s="9">
        <v>135</v>
      </c>
      <c r="T24" s="9">
        <v>6</v>
      </c>
      <c r="U24" s="9">
        <v>74795</v>
      </c>
      <c r="V24" s="9">
        <v>0</v>
      </c>
      <c r="W24" s="9">
        <v>0</v>
      </c>
      <c r="X24" s="9">
        <v>72641</v>
      </c>
      <c r="Y24" s="9">
        <v>2154</v>
      </c>
      <c r="Z24" s="9">
        <v>0</v>
      </c>
      <c r="AB24" s="7">
        <f t="shared" si="1"/>
        <v>8792</v>
      </c>
      <c r="AC24" s="7">
        <f t="shared" si="2"/>
        <v>0</v>
      </c>
      <c r="AD24" s="7">
        <f t="shared" si="3"/>
        <v>8565.2666666666664</v>
      </c>
    </row>
    <row r="25" spans="1:30" x14ac:dyDescent="0.3">
      <c r="A25" s="2">
        <v>40513</v>
      </c>
      <c r="B25" s="10">
        <f t="shared" si="0"/>
        <v>31</v>
      </c>
      <c r="C25" s="7">
        <v>384</v>
      </c>
      <c r="D25" s="7">
        <v>20</v>
      </c>
      <c r="E25" s="7">
        <v>280461</v>
      </c>
      <c r="F25" s="7">
        <v>0</v>
      </c>
      <c r="G25" s="7">
        <v>0</v>
      </c>
      <c r="H25" s="7">
        <v>272388</v>
      </c>
      <c r="I25" s="7">
        <v>8073</v>
      </c>
      <c r="J25" s="7">
        <v>0</v>
      </c>
      <c r="K25" s="8">
        <v>226</v>
      </c>
      <c r="L25" s="8">
        <v>13</v>
      </c>
      <c r="M25" s="8">
        <v>191749</v>
      </c>
      <c r="N25" s="8">
        <v>0</v>
      </c>
      <c r="O25" s="8">
        <v>0</v>
      </c>
      <c r="P25" s="8">
        <v>186171</v>
      </c>
      <c r="Q25" s="8">
        <v>5578</v>
      </c>
      <c r="R25" s="8">
        <v>0</v>
      </c>
      <c r="S25" s="9">
        <v>158</v>
      </c>
      <c r="T25" s="9">
        <v>7</v>
      </c>
      <c r="U25" s="9">
        <v>88712</v>
      </c>
      <c r="V25" s="9">
        <v>0</v>
      </c>
      <c r="W25" s="9">
        <v>0</v>
      </c>
      <c r="X25" s="9">
        <v>86217</v>
      </c>
      <c r="Y25" s="9">
        <v>2495</v>
      </c>
      <c r="Z25" s="9">
        <v>0</v>
      </c>
      <c r="AB25" s="7">
        <f t="shared" si="1"/>
        <v>9047.1290322580644</v>
      </c>
      <c r="AC25" s="7">
        <f t="shared" si="2"/>
        <v>0</v>
      </c>
      <c r="AD25" s="7">
        <f t="shared" si="3"/>
        <v>8786.7096774193542</v>
      </c>
    </row>
    <row r="26" spans="1:30" x14ac:dyDescent="0.3">
      <c r="A26" s="2">
        <v>40544</v>
      </c>
      <c r="B26" s="10">
        <f t="shared" si="0"/>
        <v>31</v>
      </c>
      <c r="C26" s="7">
        <v>418</v>
      </c>
      <c r="D26" s="7">
        <v>21</v>
      </c>
      <c r="E26" s="7">
        <v>278795</v>
      </c>
      <c r="F26" s="7">
        <v>0</v>
      </c>
      <c r="G26" s="7">
        <v>0</v>
      </c>
      <c r="H26" s="7">
        <v>261204</v>
      </c>
      <c r="I26" s="7">
        <v>17591</v>
      </c>
      <c r="J26" s="7">
        <v>0</v>
      </c>
      <c r="K26" s="8">
        <v>272</v>
      </c>
      <c r="L26" s="8">
        <v>13</v>
      </c>
      <c r="M26" s="8">
        <v>199050</v>
      </c>
      <c r="N26" s="8">
        <v>0</v>
      </c>
      <c r="O26" s="8">
        <v>0</v>
      </c>
      <c r="P26" s="8">
        <v>183677</v>
      </c>
      <c r="Q26" s="8">
        <v>15373</v>
      </c>
      <c r="R26" s="8">
        <v>0</v>
      </c>
      <c r="S26" s="9">
        <v>146</v>
      </c>
      <c r="T26" s="9">
        <v>8</v>
      </c>
      <c r="U26" s="9">
        <v>79745</v>
      </c>
      <c r="V26" s="9">
        <v>0</v>
      </c>
      <c r="W26" s="9">
        <v>0</v>
      </c>
      <c r="X26" s="9">
        <v>77527</v>
      </c>
      <c r="Y26" s="9">
        <v>2218</v>
      </c>
      <c r="Z26" s="9">
        <v>0</v>
      </c>
      <c r="AB26" s="7">
        <f t="shared" si="1"/>
        <v>8993.3870967741932</v>
      </c>
      <c r="AC26" s="7">
        <f t="shared" si="2"/>
        <v>0</v>
      </c>
      <c r="AD26" s="7">
        <f t="shared" si="3"/>
        <v>8425.9354838709678</v>
      </c>
    </row>
    <row r="27" spans="1:30" x14ac:dyDescent="0.3">
      <c r="A27" s="2">
        <v>40575</v>
      </c>
      <c r="B27" s="10">
        <f t="shared" si="0"/>
        <v>28</v>
      </c>
      <c r="C27" s="7">
        <v>414</v>
      </c>
      <c r="D27" s="7">
        <v>26</v>
      </c>
      <c r="E27" s="7">
        <v>285342</v>
      </c>
      <c r="F27" s="7">
        <v>0</v>
      </c>
      <c r="G27" s="7">
        <v>0</v>
      </c>
      <c r="H27" s="7">
        <v>275617</v>
      </c>
      <c r="I27" s="7">
        <v>9725</v>
      </c>
      <c r="J27" s="7">
        <v>0</v>
      </c>
      <c r="K27" s="8">
        <v>245</v>
      </c>
      <c r="L27" s="8">
        <v>16</v>
      </c>
      <c r="M27" s="8">
        <v>192986</v>
      </c>
      <c r="N27" s="8">
        <v>0</v>
      </c>
      <c r="O27" s="8">
        <v>0</v>
      </c>
      <c r="P27" s="8">
        <v>187865</v>
      </c>
      <c r="Q27" s="8">
        <v>5121</v>
      </c>
      <c r="R27" s="8">
        <v>0</v>
      </c>
      <c r="S27" s="9">
        <v>169</v>
      </c>
      <c r="T27" s="9">
        <v>10</v>
      </c>
      <c r="U27" s="9">
        <v>92356</v>
      </c>
      <c r="V27" s="9">
        <v>0</v>
      </c>
      <c r="W27" s="9">
        <v>0</v>
      </c>
      <c r="X27" s="9">
        <v>87752</v>
      </c>
      <c r="Y27" s="9">
        <v>4604</v>
      </c>
      <c r="Z27" s="9">
        <v>0</v>
      </c>
      <c r="AB27" s="7">
        <f t="shared" si="1"/>
        <v>10190.785714285714</v>
      </c>
      <c r="AC27" s="7">
        <f t="shared" si="2"/>
        <v>0</v>
      </c>
      <c r="AD27" s="7">
        <f t="shared" si="3"/>
        <v>9843.4642857142862</v>
      </c>
    </row>
    <row r="28" spans="1:30" x14ac:dyDescent="0.3">
      <c r="A28" s="2">
        <v>40603</v>
      </c>
      <c r="B28" s="10">
        <f t="shared" si="0"/>
        <v>31</v>
      </c>
      <c r="C28" s="7">
        <v>405</v>
      </c>
      <c r="D28" s="7">
        <v>20</v>
      </c>
      <c r="E28" s="7">
        <v>291633</v>
      </c>
      <c r="F28" s="7">
        <v>0</v>
      </c>
      <c r="G28" s="7">
        <v>0</v>
      </c>
      <c r="H28" s="7">
        <v>284214</v>
      </c>
      <c r="I28" s="7">
        <v>7419</v>
      </c>
      <c r="J28" s="7">
        <v>0</v>
      </c>
      <c r="K28" s="8">
        <v>212</v>
      </c>
      <c r="L28" s="8">
        <v>11</v>
      </c>
      <c r="M28" s="8">
        <v>183478</v>
      </c>
      <c r="N28" s="8">
        <v>0</v>
      </c>
      <c r="O28" s="8">
        <v>0</v>
      </c>
      <c r="P28" s="8">
        <v>179336</v>
      </c>
      <c r="Q28" s="8">
        <v>4142</v>
      </c>
      <c r="R28" s="8">
        <v>0</v>
      </c>
      <c r="S28" s="9">
        <v>193</v>
      </c>
      <c r="T28" s="9">
        <v>9</v>
      </c>
      <c r="U28" s="9">
        <v>108155</v>
      </c>
      <c r="V28" s="9">
        <v>0</v>
      </c>
      <c r="W28" s="9">
        <v>0</v>
      </c>
      <c r="X28" s="9">
        <v>104878</v>
      </c>
      <c r="Y28" s="9">
        <v>3277</v>
      </c>
      <c r="Z28" s="9">
        <v>0</v>
      </c>
      <c r="AB28" s="7">
        <f t="shared" si="1"/>
        <v>9407.5161290322576</v>
      </c>
      <c r="AC28" s="7">
        <f t="shared" si="2"/>
        <v>0</v>
      </c>
      <c r="AD28" s="7">
        <f t="shared" si="3"/>
        <v>9168.1935483870966</v>
      </c>
    </row>
    <row r="29" spans="1:30" x14ac:dyDescent="0.3">
      <c r="A29" s="2">
        <v>40634</v>
      </c>
      <c r="B29" s="10">
        <f t="shared" si="0"/>
        <v>30</v>
      </c>
      <c r="C29" s="7">
        <v>426</v>
      </c>
      <c r="D29" s="7">
        <v>20</v>
      </c>
      <c r="E29" s="7">
        <v>276871</v>
      </c>
      <c r="F29" s="7">
        <v>0</v>
      </c>
      <c r="G29" s="7">
        <v>0</v>
      </c>
      <c r="H29" s="7">
        <v>264458</v>
      </c>
      <c r="I29" s="7">
        <v>12413</v>
      </c>
      <c r="J29" s="7">
        <v>0</v>
      </c>
      <c r="K29" s="8">
        <v>272</v>
      </c>
      <c r="L29" s="8">
        <v>12</v>
      </c>
      <c r="M29" s="8">
        <v>201924</v>
      </c>
      <c r="N29" s="8">
        <v>0</v>
      </c>
      <c r="O29" s="8">
        <v>0</v>
      </c>
      <c r="P29" s="8">
        <v>192786</v>
      </c>
      <c r="Q29" s="8">
        <v>9138</v>
      </c>
      <c r="R29" s="8">
        <v>0</v>
      </c>
      <c r="S29" s="9">
        <v>154</v>
      </c>
      <c r="T29" s="9">
        <v>8</v>
      </c>
      <c r="U29" s="9">
        <v>74947</v>
      </c>
      <c r="V29" s="9">
        <v>0</v>
      </c>
      <c r="W29" s="9">
        <v>0</v>
      </c>
      <c r="X29" s="9">
        <v>71672</v>
      </c>
      <c r="Y29" s="9">
        <v>3275</v>
      </c>
      <c r="Z29" s="9">
        <v>0</v>
      </c>
      <c r="AB29" s="7">
        <f t="shared" si="1"/>
        <v>9229.0333333333328</v>
      </c>
      <c r="AC29" s="7">
        <f t="shared" si="2"/>
        <v>0</v>
      </c>
      <c r="AD29" s="7">
        <f t="shared" si="3"/>
        <v>8815.2666666666664</v>
      </c>
    </row>
    <row r="30" spans="1:30" x14ac:dyDescent="0.3">
      <c r="A30" s="2">
        <v>40664</v>
      </c>
      <c r="B30" s="10">
        <f t="shared" si="0"/>
        <v>31</v>
      </c>
      <c r="C30" s="7">
        <v>405</v>
      </c>
      <c r="D30" s="7">
        <v>22</v>
      </c>
      <c r="E30" s="7">
        <v>294639</v>
      </c>
      <c r="F30" s="7">
        <v>0</v>
      </c>
      <c r="G30" s="7">
        <v>0</v>
      </c>
      <c r="H30" s="7">
        <v>285774</v>
      </c>
      <c r="I30" s="7">
        <v>8865</v>
      </c>
      <c r="J30" s="7">
        <v>0</v>
      </c>
      <c r="K30" s="8">
        <v>245</v>
      </c>
      <c r="L30" s="8">
        <v>13</v>
      </c>
      <c r="M30" s="8">
        <v>200156</v>
      </c>
      <c r="N30" s="8">
        <v>0</v>
      </c>
      <c r="O30" s="8">
        <v>0</v>
      </c>
      <c r="P30" s="8">
        <v>195719</v>
      </c>
      <c r="Q30" s="8">
        <v>4437</v>
      </c>
      <c r="R30" s="8">
        <v>0</v>
      </c>
      <c r="S30" s="9">
        <v>160</v>
      </c>
      <c r="T30" s="9">
        <v>9</v>
      </c>
      <c r="U30" s="9">
        <v>94483</v>
      </c>
      <c r="V30" s="9">
        <v>0</v>
      </c>
      <c r="W30" s="9">
        <v>0</v>
      </c>
      <c r="X30" s="9">
        <v>90055</v>
      </c>
      <c r="Y30" s="9">
        <v>4428</v>
      </c>
      <c r="Z30" s="9">
        <v>0</v>
      </c>
      <c r="AB30" s="7">
        <f t="shared" si="1"/>
        <v>9504.4838709677424</v>
      </c>
      <c r="AC30" s="7">
        <f t="shared" si="2"/>
        <v>0</v>
      </c>
      <c r="AD30" s="7">
        <f t="shared" si="3"/>
        <v>9218.5161290322576</v>
      </c>
    </row>
    <row r="31" spans="1:30" x14ac:dyDescent="0.3">
      <c r="A31" s="2">
        <v>40695</v>
      </c>
      <c r="B31" s="10">
        <f t="shared" si="0"/>
        <v>30</v>
      </c>
      <c r="C31" s="7">
        <v>390</v>
      </c>
      <c r="D31" s="7">
        <v>23</v>
      </c>
      <c r="E31" s="7">
        <v>273548</v>
      </c>
      <c r="F31" s="7">
        <v>0</v>
      </c>
      <c r="G31" s="7">
        <v>0</v>
      </c>
      <c r="H31" s="7">
        <v>265634</v>
      </c>
      <c r="I31" s="7">
        <v>7914</v>
      </c>
      <c r="J31" s="7">
        <v>0</v>
      </c>
      <c r="K31" s="8">
        <v>233</v>
      </c>
      <c r="L31" s="8">
        <v>14</v>
      </c>
      <c r="M31" s="8">
        <v>182602</v>
      </c>
      <c r="N31" s="8">
        <v>0</v>
      </c>
      <c r="O31" s="8">
        <v>0</v>
      </c>
      <c r="P31" s="8">
        <v>178842</v>
      </c>
      <c r="Q31" s="8">
        <v>3760</v>
      </c>
      <c r="R31" s="8">
        <v>0</v>
      </c>
      <c r="S31" s="9">
        <v>157</v>
      </c>
      <c r="T31" s="9">
        <v>9</v>
      </c>
      <c r="U31" s="9">
        <v>90946</v>
      </c>
      <c r="V31" s="9">
        <v>0</v>
      </c>
      <c r="W31" s="9">
        <v>0</v>
      </c>
      <c r="X31" s="9">
        <v>86792</v>
      </c>
      <c r="Y31" s="9">
        <v>4154</v>
      </c>
      <c r="Z31" s="9">
        <v>0</v>
      </c>
      <c r="AB31" s="7">
        <f t="shared" si="1"/>
        <v>9118.2666666666664</v>
      </c>
      <c r="AC31" s="7">
        <f t="shared" si="2"/>
        <v>0</v>
      </c>
      <c r="AD31" s="7">
        <f t="shared" si="3"/>
        <v>8854.4666666666672</v>
      </c>
    </row>
    <row r="32" spans="1:30" x14ac:dyDescent="0.3">
      <c r="A32" s="2">
        <v>40725</v>
      </c>
      <c r="B32" s="10">
        <f t="shared" si="0"/>
        <v>31</v>
      </c>
      <c r="C32" s="7">
        <v>425</v>
      </c>
      <c r="D32" s="7">
        <v>23</v>
      </c>
      <c r="E32" s="7">
        <v>295385</v>
      </c>
      <c r="F32" s="7">
        <v>0</v>
      </c>
      <c r="G32" s="7">
        <v>0</v>
      </c>
      <c r="H32" s="7">
        <v>285249</v>
      </c>
      <c r="I32" s="7">
        <v>10136</v>
      </c>
      <c r="J32" s="7">
        <v>0</v>
      </c>
      <c r="K32" s="8">
        <v>276</v>
      </c>
      <c r="L32" s="8">
        <v>14</v>
      </c>
      <c r="M32" s="8">
        <v>196951</v>
      </c>
      <c r="N32" s="8">
        <v>0</v>
      </c>
      <c r="O32" s="8">
        <v>0</v>
      </c>
      <c r="P32" s="8">
        <v>191759</v>
      </c>
      <c r="Q32" s="8">
        <v>5192</v>
      </c>
      <c r="R32" s="8">
        <v>0</v>
      </c>
      <c r="S32" s="9">
        <v>149</v>
      </c>
      <c r="T32" s="9">
        <v>9</v>
      </c>
      <c r="U32" s="9">
        <v>98434</v>
      </c>
      <c r="V32" s="9">
        <v>0</v>
      </c>
      <c r="W32" s="9">
        <v>0</v>
      </c>
      <c r="X32" s="9">
        <v>93490</v>
      </c>
      <c r="Y32" s="9">
        <v>4944</v>
      </c>
      <c r="Z32" s="9">
        <v>0</v>
      </c>
      <c r="AB32" s="7">
        <f t="shared" si="1"/>
        <v>9528.5483870967746</v>
      </c>
      <c r="AC32" s="7">
        <f t="shared" si="2"/>
        <v>0</v>
      </c>
      <c r="AD32" s="7">
        <f t="shared" si="3"/>
        <v>9201.5806451612898</v>
      </c>
    </row>
    <row r="33" spans="1:30" x14ac:dyDescent="0.3">
      <c r="A33" s="2">
        <v>40756</v>
      </c>
      <c r="B33" s="10">
        <f t="shared" si="0"/>
        <v>31</v>
      </c>
      <c r="C33" s="7">
        <v>415</v>
      </c>
      <c r="D33" s="7">
        <v>29</v>
      </c>
      <c r="E33" s="7">
        <v>272815</v>
      </c>
      <c r="F33" s="7">
        <v>0</v>
      </c>
      <c r="G33" s="7">
        <v>0</v>
      </c>
      <c r="H33" s="7">
        <v>256884</v>
      </c>
      <c r="I33" s="7">
        <v>15931</v>
      </c>
      <c r="J33" s="7">
        <v>0</v>
      </c>
      <c r="K33" s="8">
        <v>258</v>
      </c>
      <c r="L33" s="8">
        <v>19</v>
      </c>
      <c r="M33" s="8">
        <v>182368</v>
      </c>
      <c r="N33" s="8">
        <v>0</v>
      </c>
      <c r="O33" s="8">
        <v>0</v>
      </c>
      <c r="P33" s="8">
        <v>170180</v>
      </c>
      <c r="Q33" s="8">
        <v>12188</v>
      </c>
      <c r="R33" s="8">
        <v>0</v>
      </c>
      <c r="S33" s="9">
        <v>157</v>
      </c>
      <c r="T33" s="9">
        <v>10</v>
      </c>
      <c r="U33" s="9">
        <v>90447</v>
      </c>
      <c r="V33" s="9">
        <v>0</v>
      </c>
      <c r="W33" s="9">
        <v>0</v>
      </c>
      <c r="X33" s="9">
        <v>86704</v>
      </c>
      <c r="Y33" s="9">
        <v>3743</v>
      </c>
      <c r="Z33" s="9">
        <v>0</v>
      </c>
      <c r="AB33" s="7">
        <f t="shared" si="1"/>
        <v>8800.4838709677424</v>
      </c>
      <c r="AC33" s="7">
        <f t="shared" si="2"/>
        <v>0</v>
      </c>
      <c r="AD33" s="7">
        <f t="shared" si="3"/>
        <v>8286.5806451612898</v>
      </c>
    </row>
    <row r="34" spans="1:30" x14ac:dyDescent="0.3">
      <c r="A34" s="2">
        <v>40787</v>
      </c>
      <c r="B34" s="10">
        <f t="shared" si="0"/>
        <v>30</v>
      </c>
      <c r="C34" s="7">
        <v>359</v>
      </c>
      <c r="D34" s="7">
        <v>23</v>
      </c>
      <c r="E34" s="7">
        <v>262260</v>
      </c>
      <c r="F34" s="7">
        <v>0</v>
      </c>
      <c r="G34" s="7">
        <v>0</v>
      </c>
      <c r="H34" s="7">
        <v>256491</v>
      </c>
      <c r="I34" s="7">
        <v>5769</v>
      </c>
      <c r="J34" s="7">
        <v>0</v>
      </c>
      <c r="K34" s="8">
        <v>279</v>
      </c>
      <c r="L34" s="8">
        <v>15</v>
      </c>
      <c r="M34" s="8">
        <v>205201</v>
      </c>
      <c r="N34" s="8">
        <v>0</v>
      </c>
      <c r="O34" s="8">
        <v>0</v>
      </c>
      <c r="P34" s="8">
        <v>201432</v>
      </c>
      <c r="Q34" s="8">
        <v>3769</v>
      </c>
      <c r="R34" s="8">
        <v>0</v>
      </c>
      <c r="S34" s="9">
        <v>80</v>
      </c>
      <c r="T34" s="9">
        <v>8</v>
      </c>
      <c r="U34" s="9">
        <v>57059</v>
      </c>
      <c r="V34" s="9">
        <v>0</v>
      </c>
      <c r="W34" s="9">
        <v>0</v>
      </c>
      <c r="X34" s="9">
        <v>55059</v>
      </c>
      <c r="Y34" s="9">
        <v>2000</v>
      </c>
      <c r="Z34" s="9">
        <v>0</v>
      </c>
      <c r="AB34" s="7">
        <f t="shared" si="1"/>
        <v>8742</v>
      </c>
      <c r="AC34" s="7">
        <f t="shared" si="2"/>
        <v>0</v>
      </c>
      <c r="AD34" s="7">
        <f t="shared" si="3"/>
        <v>8549.7000000000007</v>
      </c>
    </row>
    <row r="35" spans="1:30" x14ac:dyDescent="0.3">
      <c r="A35" s="2">
        <v>40817</v>
      </c>
      <c r="B35" s="10">
        <f t="shared" si="0"/>
        <v>31</v>
      </c>
      <c r="C35" s="7">
        <v>410</v>
      </c>
      <c r="D35" s="7">
        <v>26</v>
      </c>
      <c r="E35" s="7">
        <v>314640</v>
      </c>
      <c r="F35" s="7">
        <v>0</v>
      </c>
      <c r="G35" s="7">
        <v>0</v>
      </c>
      <c r="H35" s="7">
        <v>306538</v>
      </c>
      <c r="I35" s="7">
        <v>8102</v>
      </c>
      <c r="J35" s="7">
        <v>0</v>
      </c>
      <c r="K35" s="8">
        <v>275</v>
      </c>
      <c r="L35" s="8">
        <v>17</v>
      </c>
      <c r="M35" s="8">
        <v>243146</v>
      </c>
      <c r="N35" s="8">
        <v>0</v>
      </c>
      <c r="O35" s="8">
        <v>0</v>
      </c>
      <c r="P35" s="8">
        <v>237355</v>
      </c>
      <c r="Q35" s="8">
        <v>5791</v>
      </c>
      <c r="R35" s="8">
        <v>0</v>
      </c>
      <c r="S35" s="9">
        <v>135</v>
      </c>
      <c r="T35" s="9">
        <v>9</v>
      </c>
      <c r="U35" s="9">
        <v>71494</v>
      </c>
      <c r="V35" s="9">
        <v>0</v>
      </c>
      <c r="W35" s="9">
        <v>0</v>
      </c>
      <c r="X35" s="9">
        <v>69183</v>
      </c>
      <c r="Y35" s="9">
        <v>2311</v>
      </c>
      <c r="Z35" s="9">
        <v>0</v>
      </c>
      <c r="AB35" s="7">
        <f t="shared" si="1"/>
        <v>10149.677419354839</v>
      </c>
      <c r="AC35" s="7">
        <f t="shared" si="2"/>
        <v>0</v>
      </c>
      <c r="AD35" s="7">
        <f t="shared" si="3"/>
        <v>9888.322580645161</v>
      </c>
    </row>
    <row r="36" spans="1:30" x14ac:dyDescent="0.3">
      <c r="A36" s="2">
        <v>40848</v>
      </c>
      <c r="B36" s="10">
        <f t="shared" si="0"/>
        <v>30</v>
      </c>
      <c r="C36" s="7">
        <v>387</v>
      </c>
      <c r="D36" s="7">
        <v>18</v>
      </c>
      <c r="E36" s="7">
        <v>263760</v>
      </c>
      <c r="F36" s="7">
        <v>0</v>
      </c>
      <c r="G36" s="7">
        <v>0</v>
      </c>
      <c r="H36" s="7">
        <v>256958</v>
      </c>
      <c r="I36" s="7">
        <v>6802</v>
      </c>
      <c r="J36" s="7">
        <v>0</v>
      </c>
      <c r="K36" s="8">
        <v>252</v>
      </c>
      <c r="L36" s="8">
        <v>12</v>
      </c>
      <c r="M36" s="8">
        <v>188965</v>
      </c>
      <c r="N36" s="8">
        <v>0</v>
      </c>
      <c r="O36" s="8">
        <v>0</v>
      </c>
      <c r="P36" s="8">
        <v>184317</v>
      </c>
      <c r="Q36" s="8">
        <v>4648</v>
      </c>
      <c r="R36" s="8">
        <v>0</v>
      </c>
      <c r="S36" s="9">
        <v>135</v>
      </c>
      <c r="T36" s="9">
        <v>6</v>
      </c>
      <c r="U36" s="9">
        <v>74795</v>
      </c>
      <c r="V36" s="9">
        <v>0</v>
      </c>
      <c r="W36" s="9">
        <v>0</v>
      </c>
      <c r="X36" s="9">
        <v>72641</v>
      </c>
      <c r="Y36" s="9">
        <v>2154</v>
      </c>
      <c r="Z36" s="9">
        <v>0</v>
      </c>
      <c r="AB36" s="7">
        <f t="shared" si="1"/>
        <v>8792</v>
      </c>
      <c r="AC36" s="7">
        <f t="shared" si="2"/>
        <v>0</v>
      </c>
      <c r="AD36" s="7">
        <f t="shared" si="3"/>
        <v>8565.2666666666664</v>
      </c>
    </row>
    <row r="37" spans="1:30" x14ac:dyDescent="0.3">
      <c r="A37" s="2">
        <v>40878</v>
      </c>
      <c r="B37" s="10">
        <f t="shared" si="0"/>
        <v>31</v>
      </c>
      <c r="C37" s="7">
        <v>384</v>
      </c>
      <c r="D37" s="7">
        <v>20</v>
      </c>
      <c r="E37" s="7">
        <v>280461</v>
      </c>
      <c r="F37" s="7">
        <v>0</v>
      </c>
      <c r="G37" s="7">
        <v>0</v>
      </c>
      <c r="H37" s="7">
        <v>272388</v>
      </c>
      <c r="I37" s="7">
        <v>8073</v>
      </c>
      <c r="J37" s="7">
        <v>0</v>
      </c>
      <c r="K37" s="8">
        <v>226</v>
      </c>
      <c r="L37" s="8">
        <v>13</v>
      </c>
      <c r="M37" s="8">
        <v>191749</v>
      </c>
      <c r="N37" s="8">
        <v>0</v>
      </c>
      <c r="O37" s="8">
        <v>0</v>
      </c>
      <c r="P37" s="8">
        <v>186171</v>
      </c>
      <c r="Q37" s="8">
        <v>5578</v>
      </c>
      <c r="R37" s="8">
        <v>0</v>
      </c>
      <c r="S37" s="9">
        <v>158</v>
      </c>
      <c r="T37" s="9">
        <v>7</v>
      </c>
      <c r="U37" s="9">
        <v>88712</v>
      </c>
      <c r="V37" s="9">
        <v>0</v>
      </c>
      <c r="W37" s="9">
        <v>0</v>
      </c>
      <c r="X37" s="9">
        <v>86217</v>
      </c>
      <c r="Y37" s="9">
        <v>2495</v>
      </c>
      <c r="Z37" s="9">
        <v>0</v>
      </c>
      <c r="AB37" s="7">
        <f t="shared" si="1"/>
        <v>9047.1290322580644</v>
      </c>
      <c r="AC37" s="7">
        <f t="shared" si="2"/>
        <v>0</v>
      </c>
      <c r="AD37" s="7">
        <f t="shared" si="3"/>
        <v>8786.7096774193542</v>
      </c>
    </row>
    <row r="38" spans="1:30" x14ac:dyDescent="0.3">
      <c r="A38" s="2">
        <v>40909</v>
      </c>
      <c r="B38" s="10">
        <f t="shared" si="0"/>
        <v>31</v>
      </c>
      <c r="C38" s="7">
        <v>452</v>
      </c>
      <c r="D38" s="7">
        <v>27</v>
      </c>
      <c r="E38" s="7">
        <v>299806</v>
      </c>
      <c r="F38" s="7">
        <v>0</v>
      </c>
      <c r="G38" s="7">
        <v>0</v>
      </c>
      <c r="H38" s="7">
        <v>293024</v>
      </c>
      <c r="I38" s="7">
        <v>6782</v>
      </c>
      <c r="J38" s="7">
        <v>0</v>
      </c>
      <c r="K38" s="8">
        <v>292</v>
      </c>
      <c r="L38" s="8">
        <v>16</v>
      </c>
      <c r="M38" s="8">
        <v>218258</v>
      </c>
      <c r="N38" s="8">
        <v>0</v>
      </c>
      <c r="O38" s="8">
        <v>0</v>
      </c>
      <c r="P38" s="8">
        <v>214472</v>
      </c>
      <c r="Q38" s="8">
        <v>3786</v>
      </c>
      <c r="R38" s="8">
        <v>0</v>
      </c>
      <c r="S38" s="9">
        <v>160</v>
      </c>
      <c r="T38" s="9">
        <v>11</v>
      </c>
      <c r="U38" s="9">
        <v>81548</v>
      </c>
      <c r="V38" s="9">
        <v>0</v>
      </c>
      <c r="W38" s="9">
        <v>0</v>
      </c>
      <c r="X38" s="9">
        <v>78552</v>
      </c>
      <c r="Y38" s="9">
        <v>2996</v>
      </c>
      <c r="Z38" s="9">
        <v>0</v>
      </c>
      <c r="AB38" s="7">
        <f t="shared" si="1"/>
        <v>9671.1612903225814</v>
      </c>
      <c r="AC38" s="7">
        <f t="shared" si="2"/>
        <v>0</v>
      </c>
      <c r="AD38" s="7">
        <f t="shared" si="3"/>
        <v>9452.3870967741932</v>
      </c>
    </row>
    <row r="39" spans="1:30" x14ac:dyDescent="0.3">
      <c r="A39" s="2">
        <v>40940</v>
      </c>
      <c r="B39" s="10">
        <f t="shared" si="0"/>
        <v>29</v>
      </c>
      <c r="C39" s="7">
        <v>423</v>
      </c>
      <c r="D39" s="7">
        <v>29</v>
      </c>
      <c r="E39" s="7">
        <v>296749</v>
      </c>
      <c r="F39" s="7">
        <v>0</v>
      </c>
      <c r="G39" s="7">
        <v>0</v>
      </c>
      <c r="H39" s="7">
        <v>288806</v>
      </c>
      <c r="I39" s="7">
        <v>7943</v>
      </c>
      <c r="J39" s="7">
        <v>0</v>
      </c>
      <c r="K39" s="8">
        <v>254</v>
      </c>
      <c r="L39" s="8">
        <v>16</v>
      </c>
      <c r="M39" s="8">
        <v>210443</v>
      </c>
      <c r="N39" s="8">
        <v>0</v>
      </c>
      <c r="O39" s="8">
        <v>0</v>
      </c>
      <c r="P39" s="8">
        <v>206169</v>
      </c>
      <c r="Q39" s="8">
        <v>4274</v>
      </c>
      <c r="R39" s="8">
        <v>0</v>
      </c>
      <c r="S39" s="9">
        <v>169</v>
      </c>
      <c r="T39" s="9">
        <v>13</v>
      </c>
      <c r="U39" s="9">
        <v>86306</v>
      </c>
      <c r="V39" s="9">
        <v>0</v>
      </c>
      <c r="W39" s="9">
        <v>0</v>
      </c>
      <c r="X39" s="9">
        <v>82637</v>
      </c>
      <c r="Y39" s="9">
        <v>3669</v>
      </c>
      <c r="Z39" s="9">
        <v>0</v>
      </c>
      <c r="AB39" s="7">
        <f t="shared" si="1"/>
        <v>10232.724137931034</v>
      </c>
      <c r="AC39" s="7">
        <f t="shared" si="2"/>
        <v>0</v>
      </c>
      <c r="AD39" s="7">
        <f t="shared" si="3"/>
        <v>9958.8275862068967</v>
      </c>
    </row>
    <row r="40" spans="1:30" x14ac:dyDescent="0.3">
      <c r="A40" s="2">
        <v>40969</v>
      </c>
      <c r="B40" s="10">
        <f t="shared" si="0"/>
        <v>31</v>
      </c>
      <c r="C40" s="7">
        <v>402</v>
      </c>
      <c r="D40" s="7">
        <v>28</v>
      </c>
      <c r="E40" s="7">
        <v>293811</v>
      </c>
      <c r="F40" s="7">
        <v>0</v>
      </c>
      <c r="G40" s="7">
        <v>0</v>
      </c>
      <c r="H40" s="7">
        <v>288261</v>
      </c>
      <c r="I40" s="7">
        <v>5550</v>
      </c>
      <c r="J40" s="7">
        <v>0</v>
      </c>
      <c r="K40" s="8">
        <v>253</v>
      </c>
      <c r="L40" s="8">
        <v>17</v>
      </c>
      <c r="M40" s="8">
        <v>193181</v>
      </c>
      <c r="N40" s="8">
        <v>0</v>
      </c>
      <c r="O40" s="8">
        <v>0</v>
      </c>
      <c r="P40" s="8">
        <v>189859</v>
      </c>
      <c r="Q40" s="8">
        <v>3322</v>
      </c>
      <c r="R40" s="8">
        <v>0</v>
      </c>
      <c r="S40" s="9">
        <v>149</v>
      </c>
      <c r="T40" s="9">
        <v>11</v>
      </c>
      <c r="U40" s="9">
        <v>100630</v>
      </c>
      <c r="V40" s="9">
        <v>0</v>
      </c>
      <c r="W40" s="9">
        <v>0</v>
      </c>
      <c r="X40" s="9">
        <v>98402</v>
      </c>
      <c r="Y40" s="9">
        <v>2228</v>
      </c>
      <c r="Z40" s="9">
        <v>0</v>
      </c>
      <c r="AB40" s="7">
        <f t="shared" si="1"/>
        <v>9477.7741935483864</v>
      </c>
      <c r="AC40" s="7">
        <f t="shared" si="2"/>
        <v>0</v>
      </c>
      <c r="AD40" s="7">
        <f t="shared" si="3"/>
        <v>9298.7419354838712</v>
      </c>
    </row>
    <row r="41" spans="1:30" x14ac:dyDescent="0.3">
      <c r="A41" s="2">
        <v>41000</v>
      </c>
      <c r="B41" s="10">
        <f t="shared" si="0"/>
        <v>30</v>
      </c>
      <c r="C41" s="7">
        <v>439</v>
      </c>
      <c r="D41" s="7">
        <v>28</v>
      </c>
      <c r="E41" s="7">
        <v>299049</v>
      </c>
      <c r="F41" s="7">
        <v>0</v>
      </c>
      <c r="G41" s="7">
        <v>0</v>
      </c>
      <c r="H41" s="7">
        <v>292291</v>
      </c>
      <c r="I41" s="7">
        <v>6758</v>
      </c>
      <c r="J41" s="7">
        <v>0</v>
      </c>
      <c r="K41" s="8">
        <v>264</v>
      </c>
      <c r="L41" s="8">
        <v>17</v>
      </c>
      <c r="M41" s="8">
        <v>193223</v>
      </c>
      <c r="N41" s="8">
        <v>0</v>
      </c>
      <c r="O41" s="8">
        <v>0</v>
      </c>
      <c r="P41" s="8">
        <v>189552</v>
      </c>
      <c r="Q41" s="8">
        <v>3671</v>
      </c>
      <c r="R41" s="8">
        <v>0</v>
      </c>
      <c r="S41" s="9">
        <v>175</v>
      </c>
      <c r="T41" s="9">
        <v>11</v>
      </c>
      <c r="U41" s="9">
        <v>105826</v>
      </c>
      <c r="V41" s="9">
        <v>0</v>
      </c>
      <c r="W41" s="9">
        <v>0</v>
      </c>
      <c r="X41" s="9">
        <v>102739</v>
      </c>
      <c r="Y41" s="9">
        <v>3087</v>
      </c>
      <c r="Z41" s="9">
        <v>0</v>
      </c>
      <c r="AB41" s="7">
        <f t="shared" si="1"/>
        <v>9968.2999999999993</v>
      </c>
      <c r="AC41" s="7">
        <f t="shared" si="2"/>
        <v>0</v>
      </c>
      <c r="AD41" s="7">
        <f t="shared" si="3"/>
        <v>9743.0333333333328</v>
      </c>
    </row>
    <row r="42" spans="1:30" x14ac:dyDescent="0.3">
      <c r="A42" s="2">
        <v>41030</v>
      </c>
      <c r="B42" s="10">
        <f t="shared" si="0"/>
        <v>31</v>
      </c>
      <c r="C42" s="7">
        <v>414</v>
      </c>
      <c r="D42" s="7">
        <v>27</v>
      </c>
      <c r="E42" s="7">
        <v>292981</v>
      </c>
      <c r="F42" s="7">
        <v>0</v>
      </c>
      <c r="G42" s="7">
        <v>0</v>
      </c>
      <c r="H42" s="7">
        <v>287857</v>
      </c>
      <c r="I42" s="7">
        <v>5124</v>
      </c>
      <c r="J42" s="7">
        <v>0</v>
      </c>
      <c r="K42" s="8">
        <v>270</v>
      </c>
      <c r="L42" s="8">
        <v>15</v>
      </c>
      <c r="M42" s="8">
        <v>199067</v>
      </c>
      <c r="N42" s="8">
        <v>0</v>
      </c>
      <c r="O42" s="8">
        <v>0</v>
      </c>
      <c r="P42" s="8">
        <v>196596</v>
      </c>
      <c r="Q42" s="8">
        <v>2471</v>
      </c>
      <c r="R42" s="8">
        <v>0</v>
      </c>
      <c r="S42" s="9">
        <v>144</v>
      </c>
      <c r="T42" s="9">
        <v>12</v>
      </c>
      <c r="U42" s="9">
        <v>93914</v>
      </c>
      <c r="V42" s="9">
        <v>0</v>
      </c>
      <c r="W42" s="9">
        <v>0</v>
      </c>
      <c r="X42" s="9">
        <v>91261</v>
      </c>
      <c r="Y42" s="9">
        <v>2653</v>
      </c>
      <c r="Z42" s="9">
        <v>0</v>
      </c>
      <c r="AB42" s="7">
        <f t="shared" si="1"/>
        <v>9451</v>
      </c>
      <c r="AC42" s="7">
        <f t="shared" si="2"/>
        <v>0</v>
      </c>
      <c r="AD42" s="7">
        <f t="shared" si="3"/>
        <v>9285.7096774193542</v>
      </c>
    </row>
    <row r="43" spans="1:30" x14ac:dyDescent="0.3">
      <c r="A43" s="2">
        <v>41061</v>
      </c>
      <c r="B43" s="10">
        <f t="shared" si="0"/>
        <v>30</v>
      </c>
      <c r="C43" s="7">
        <v>413</v>
      </c>
      <c r="D43" s="7">
        <v>26</v>
      </c>
      <c r="E43" s="7">
        <v>299641</v>
      </c>
      <c r="F43" s="7">
        <v>0</v>
      </c>
      <c r="G43" s="7">
        <v>0</v>
      </c>
      <c r="H43" s="7">
        <v>294158</v>
      </c>
      <c r="I43" s="7">
        <v>5483</v>
      </c>
      <c r="J43" s="7">
        <v>0</v>
      </c>
      <c r="K43" s="8">
        <v>283</v>
      </c>
      <c r="L43" s="8">
        <v>15</v>
      </c>
      <c r="M43" s="8">
        <v>215379</v>
      </c>
      <c r="N43" s="8">
        <v>0</v>
      </c>
      <c r="O43" s="8">
        <v>0</v>
      </c>
      <c r="P43" s="8">
        <v>212407</v>
      </c>
      <c r="Q43" s="8">
        <v>2972</v>
      </c>
      <c r="R43" s="8">
        <v>0</v>
      </c>
      <c r="S43" s="9">
        <v>130</v>
      </c>
      <c r="T43" s="9">
        <v>11</v>
      </c>
      <c r="U43" s="9">
        <v>84262</v>
      </c>
      <c r="V43" s="9">
        <v>0</v>
      </c>
      <c r="W43" s="9">
        <v>0</v>
      </c>
      <c r="X43" s="9">
        <v>81751</v>
      </c>
      <c r="Y43" s="9">
        <v>2511</v>
      </c>
      <c r="Z43" s="9">
        <v>0</v>
      </c>
      <c r="AB43" s="7">
        <f t="shared" si="1"/>
        <v>9988.0333333333328</v>
      </c>
      <c r="AC43" s="7">
        <f t="shared" si="2"/>
        <v>0</v>
      </c>
      <c r="AD43" s="7">
        <f t="shared" si="3"/>
        <v>9805.2666666666664</v>
      </c>
    </row>
    <row r="44" spans="1:30" x14ac:dyDescent="0.3">
      <c r="A44" s="2">
        <v>41091</v>
      </c>
      <c r="B44" s="10">
        <f t="shared" si="0"/>
        <v>31</v>
      </c>
      <c r="C44" s="7">
        <v>404</v>
      </c>
      <c r="D44" s="7">
        <v>26</v>
      </c>
      <c r="E44" s="7">
        <v>280599</v>
      </c>
      <c r="F44" s="7">
        <v>0</v>
      </c>
      <c r="G44" s="7">
        <v>0</v>
      </c>
      <c r="H44" s="7">
        <v>273454</v>
      </c>
      <c r="I44" s="7">
        <v>7145</v>
      </c>
      <c r="J44" s="7">
        <v>0</v>
      </c>
      <c r="K44" s="8">
        <v>249</v>
      </c>
      <c r="L44" s="8">
        <v>15</v>
      </c>
      <c r="M44" s="8">
        <v>181149</v>
      </c>
      <c r="N44" s="8">
        <v>0</v>
      </c>
      <c r="O44" s="8">
        <v>0</v>
      </c>
      <c r="P44" s="8">
        <v>177742</v>
      </c>
      <c r="Q44" s="8">
        <v>3407</v>
      </c>
      <c r="R44" s="8">
        <v>0</v>
      </c>
      <c r="S44" s="9">
        <v>155</v>
      </c>
      <c r="T44" s="9">
        <v>11</v>
      </c>
      <c r="U44" s="9">
        <v>99450</v>
      </c>
      <c r="V44" s="9">
        <v>0</v>
      </c>
      <c r="W44" s="9">
        <v>0</v>
      </c>
      <c r="X44" s="9">
        <v>95712</v>
      </c>
      <c r="Y44" s="9">
        <v>3738</v>
      </c>
      <c r="Z44" s="9">
        <v>0</v>
      </c>
      <c r="AB44" s="7">
        <f t="shared" si="1"/>
        <v>9051.5806451612898</v>
      </c>
      <c r="AC44" s="7">
        <f t="shared" si="2"/>
        <v>0</v>
      </c>
      <c r="AD44" s="7">
        <f t="shared" si="3"/>
        <v>8821.0967741935492</v>
      </c>
    </row>
    <row r="45" spans="1:30" x14ac:dyDescent="0.3">
      <c r="A45" s="2">
        <v>41122</v>
      </c>
      <c r="B45" s="10">
        <f t="shared" si="0"/>
        <v>31</v>
      </c>
      <c r="C45" s="7">
        <v>401</v>
      </c>
      <c r="D45" s="7">
        <v>29</v>
      </c>
      <c r="E45" s="7">
        <v>254951</v>
      </c>
      <c r="F45" s="7">
        <v>0</v>
      </c>
      <c r="G45" s="7">
        <v>0</v>
      </c>
      <c r="H45" s="7">
        <v>249673</v>
      </c>
      <c r="I45" s="7">
        <v>5278</v>
      </c>
      <c r="J45" s="7">
        <v>0</v>
      </c>
      <c r="K45" s="8">
        <v>263</v>
      </c>
      <c r="L45" s="8">
        <v>17</v>
      </c>
      <c r="M45" s="8">
        <v>178092</v>
      </c>
      <c r="N45" s="8">
        <v>0</v>
      </c>
      <c r="O45" s="8">
        <v>0</v>
      </c>
      <c r="P45" s="8">
        <v>174562</v>
      </c>
      <c r="Q45" s="8">
        <v>3530</v>
      </c>
      <c r="R45" s="8">
        <v>0</v>
      </c>
      <c r="S45" s="9">
        <v>138</v>
      </c>
      <c r="T45" s="9">
        <v>12</v>
      </c>
      <c r="U45" s="9">
        <v>76859</v>
      </c>
      <c r="V45" s="9">
        <v>0</v>
      </c>
      <c r="W45" s="9">
        <v>0</v>
      </c>
      <c r="X45" s="9">
        <v>75111</v>
      </c>
      <c r="Y45" s="9">
        <v>1748</v>
      </c>
      <c r="Z45" s="9">
        <v>0</v>
      </c>
      <c r="AB45" s="7">
        <f t="shared" si="1"/>
        <v>8224.2258064516136</v>
      </c>
      <c r="AC45" s="7">
        <f t="shared" si="2"/>
        <v>0</v>
      </c>
      <c r="AD45" s="7">
        <f t="shared" si="3"/>
        <v>8053.9677419354839</v>
      </c>
    </row>
    <row r="46" spans="1:30" x14ac:dyDescent="0.3">
      <c r="A46" s="2">
        <v>41153</v>
      </c>
      <c r="B46" s="10">
        <f t="shared" si="0"/>
        <v>30</v>
      </c>
      <c r="C46" s="7">
        <v>346</v>
      </c>
      <c r="D46" s="7">
        <v>28</v>
      </c>
      <c r="E46" s="7">
        <v>259394</v>
      </c>
      <c r="F46" s="7">
        <v>0</v>
      </c>
      <c r="G46" s="7">
        <v>0</v>
      </c>
      <c r="H46" s="7">
        <v>251106</v>
      </c>
      <c r="I46" s="7">
        <v>8288</v>
      </c>
      <c r="J46" s="7">
        <v>0</v>
      </c>
      <c r="K46" s="8">
        <v>240</v>
      </c>
      <c r="L46" s="8">
        <v>15</v>
      </c>
      <c r="M46" s="8">
        <v>184600</v>
      </c>
      <c r="N46" s="8">
        <v>0</v>
      </c>
      <c r="O46" s="8">
        <v>0</v>
      </c>
      <c r="P46" s="8">
        <v>181217</v>
      </c>
      <c r="Q46" s="8">
        <v>3383</v>
      </c>
      <c r="R46" s="8">
        <v>0</v>
      </c>
      <c r="S46" s="9">
        <v>106</v>
      </c>
      <c r="T46" s="9">
        <v>13</v>
      </c>
      <c r="U46" s="9">
        <v>74794</v>
      </c>
      <c r="V46" s="9">
        <v>0</v>
      </c>
      <c r="W46" s="9">
        <v>0</v>
      </c>
      <c r="X46" s="9">
        <v>69889</v>
      </c>
      <c r="Y46" s="9">
        <v>4905</v>
      </c>
      <c r="Z46" s="9">
        <v>0</v>
      </c>
      <c r="AB46" s="7">
        <f t="shared" si="1"/>
        <v>8646.4666666666672</v>
      </c>
      <c r="AC46" s="7">
        <f t="shared" si="2"/>
        <v>0</v>
      </c>
      <c r="AD46" s="7">
        <f t="shared" si="3"/>
        <v>8370.2000000000007</v>
      </c>
    </row>
    <row r="47" spans="1:30" x14ac:dyDescent="0.3">
      <c r="A47" s="2">
        <v>41183</v>
      </c>
      <c r="B47" s="10">
        <f t="shared" si="0"/>
        <v>31</v>
      </c>
      <c r="C47" s="7">
        <v>467</v>
      </c>
      <c r="D47" s="7">
        <v>29</v>
      </c>
      <c r="E47" s="7">
        <v>324608</v>
      </c>
      <c r="F47" s="7">
        <v>0</v>
      </c>
      <c r="G47" s="7">
        <v>0</v>
      </c>
      <c r="H47" s="7">
        <v>312919</v>
      </c>
      <c r="I47" s="7">
        <v>11689</v>
      </c>
      <c r="J47" s="7">
        <v>0</v>
      </c>
      <c r="K47" s="8">
        <v>354</v>
      </c>
      <c r="L47" s="8">
        <v>19</v>
      </c>
      <c r="M47" s="8">
        <v>246775</v>
      </c>
      <c r="N47" s="8">
        <v>0</v>
      </c>
      <c r="O47" s="8">
        <v>0</v>
      </c>
      <c r="P47" s="8">
        <v>239642</v>
      </c>
      <c r="Q47" s="8">
        <v>7133</v>
      </c>
      <c r="R47" s="8">
        <v>0</v>
      </c>
      <c r="S47" s="9">
        <v>113</v>
      </c>
      <c r="T47" s="9">
        <v>10</v>
      </c>
      <c r="U47" s="9">
        <v>77833</v>
      </c>
      <c r="V47" s="9">
        <v>0</v>
      </c>
      <c r="W47" s="9">
        <v>0</v>
      </c>
      <c r="X47" s="9">
        <v>73277</v>
      </c>
      <c r="Y47" s="9">
        <v>4556</v>
      </c>
      <c r="Z47" s="9">
        <v>0</v>
      </c>
      <c r="AB47" s="7">
        <f t="shared" si="1"/>
        <v>10471.225806451614</v>
      </c>
      <c r="AC47" s="7">
        <f t="shared" si="2"/>
        <v>0</v>
      </c>
      <c r="AD47" s="7">
        <f t="shared" si="3"/>
        <v>10094.161290322581</v>
      </c>
    </row>
    <row r="48" spans="1:30" x14ac:dyDescent="0.3">
      <c r="A48" s="2">
        <v>41214</v>
      </c>
      <c r="B48" s="10">
        <f t="shared" si="0"/>
        <v>30</v>
      </c>
      <c r="C48" s="7">
        <v>325</v>
      </c>
      <c r="D48" s="7">
        <v>22</v>
      </c>
      <c r="E48" s="7">
        <v>250163</v>
      </c>
      <c r="F48" s="7">
        <v>0</v>
      </c>
      <c r="G48" s="7">
        <v>0</v>
      </c>
      <c r="H48" s="7">
        <v>244840</v>
      </c>
      <c r="I48" s="7">
        <v>5323</v>
      </c>
      <c r="J48" s="7">
        <v>0</v>
      </c>
      <c r="K48" s="8">
        <v>249</v>
      </c>
      <c r="L48" s="8">
        <v>16</v>
      </c>
      <c r="M48" s="8">
        <v>187593</v>
      </c>
      <c r="N48" s="8">
        <v>0</v>
      </c>
      <c r="O48" s="8">
        <v>0</v>
      </c>
      <c r="P48" s="8">
        <v>184426</v>
      </c>
      <c r="Q48" s="8">
        <v>3167</v>
      </c>
      <c r="R48" s="8">
        <v>0</v>
      </c>
      <c r="S48" s="9">
        <v>76</v>
      </c>
      <c r="T48" s="9">
        <v>6</v>
      </c>
      <c r="U48" s="9">
        <v>62570</v>
      </c>
      <c r="V48" s="9">
        <v>0</v>
      </c>
      <c r="W48" s="9">
        <v>0</v>
      </c>
      <c r="X48" s="9">
        <v>60414</v>
      </c>
      <c r="Y48" s="9">
        <v>2156</v>
      </c>
      <c r="Z48" s="9">
        <v>0</v>
      </c>
      <c r="AB48" s="7">
        <f t="shared" si="1"/>
        <v>8338.7666666666664</v>
      </c>
      <c r="AC48" s="7">
        <f t="shared" si="2"/>
        <v>0</v>
      </c>
      <c r="AD48" s="7">
        <f t="shared" si="3"/>
        <v>8161.333333333333</v>
      </c>
    </row>
    <row r="49" spans="1:30" x14ac:dyDescent="0.3">
      <c r="A49" s="2">
        <v>41244</v>
      </c>
      <c r="B49" s="10">
        <f t="shared" si="0"/>
        <v>31</v>
      </c>
      <c r="C49" s="7">
        <v>359</v>
      </c>
      <c r="D49" s="7">
        <v>23</v>
      </c>
      <c r="E49" s="7">
        <v>262260</v>
      </c>
      <c r="F49" s="7">
        <v>0</v>
      </c>
      <c r="G49" s="7">
        <v>0</v>
      </c>
      <c r="H49" s="7">
        <v>256491</v>
      </c>
      <c r="I49" s="7">
        <v>5769</v>
      </c>
      <c r="J49" s="7">
        <v>0</v>
      </c>
      <c r="K49" s="8">
        <v>279</v>
      </c>
      <c r="L49" s="8">
        <v>15</v>
      </c>
      <c r="M49" s="8">
        <v>205201</v>
      </c>
      <c r="N49" s="8">
        <v>0</v>
      </c>
      <c r="O49" s="8">
        <v>0</v>
      </c>
      <c r="P49" s="8">
        <v>201432</v>
      </c>
      <c r="Q49" s="8">
        <v>3769</v>
      </c>
      <c r="R49" s="8">
        <v>0</v>
      </c>
      <c r="S49" s="9">
        <v>80</v>
      </c>
      <c r="T49" s="9">
        <v>8</v>
      </c>
      <c r="U49" s="9">
        <v>57059</v>
      </c>
      <c r="V49" s="9">
        <v>0</v>
      </c>
      <c r="W49" s="9">
        <v>0</v>
      </c>
      <c r="X49" s="9">
        <v>55059</v>
      </c>
      <c r="Y49" s="9">
        <v>2000</v>
      </c>
      <c r="Z49" s="9">
        <v>0</v>
      </c>
      <c r="AB49" s="7">
        <f t="shared" si="1"/>
        <v>8460</v>
      </c>
      <c r="AC49" s="7">
        <f t="shared" si="2"/>
        <v>0</v>
      </c>
      <c r="AD49" s="7">
        <f t="shared" si="3"/>
        <v>8273.9032258064508</v>
      </c>
    </row>
    <row r="50" spans="1:30" x14ac:dyDescent="0.3">
      <c r="A50" s="2">
        <v>41275</v>
      </c>
      <c r="B50" s="10">
        <f t="shared" si="0"/>
        <v>31</v>
      </c>
      <c r="C50" s="7">
        <v>397</v>
      </c>
      <c r="D50" s="7">
        <v>28</v>
      </c>
      <c r="E50" s="7">
        <v>303724</v>
      </c>
      <c r="F50" s="7">
        <v>0</v>
      </c>
      <c r="G50" s="7">
        <v>0</v>
      </c>
      <c r="H50" s="7">
        <v>290447</v>
      </c>
      <c r="I50" s="7">
        <v>13277</v>
      </c>
      <c r="J50" s="7">
        <v>0</v>
      </c>
      <c r="K50" s="8">
        <v>278</v>
      </c>
      <c r="L50" s="8">
        <v>18</v>
      </c>
      <c r="M50" s="8">
        <v>200852</v>
      </c>
      <c r="N50" s="8">
        <v>0</v>
      </c>
      <c r="O50" s="8">
        <v>0</v>
      </c>
      <c r="P50" s="8">
        <v>193219</v>
      </c>
      <c r="Q50" s="8">
        <v>7633</v>
      </c>
      <c r="R50" s="8">
        <v>0</v>
      </c>
      <c r="S50" s="9">
        <v>119</v>
      </c>
      <c r="T50" s="9">
        <v>10</v>
      </c>
      <c r="U50" s="9">
        <v>102872</v>
      </c>
      <c r="V50" s="9">
        <v>0</v>
      </c>
      <c r="W50" s="9">
        <v>0</v>
      </c>
      <c r="X50" s="9">
        <v>97228</v>
      </c>
      <c r="Y50" s="9">
        <v>5644</v>
      </c>
      <c r="Z50" s="9">
        <v>0</v>
      </c>
      <c r="AB50" s="7">
        <f t="shared" si="1"/>
        <v>9797.5483870967746</v>
      </c>
      <c r="AC50" s="7">
        <f t="shared" si="2"/>
        <v>0</v>
      </c>
      <c r="AD50" s="7">
        <f t="shared" si="3"/>
        <v>9369.2580645161288</v>
      </c>
    </row>
    <row r="51" spans="1:30" x14ac:dyDescent="0.3">
      <c r="A51" s="2">
        <v>41306</v>
      </c>
      <c r="B51" s="10">
        <f t="shared" si="0"/>
        <v>28</v>
      </c>
      <c r="C51" s="7">
        <v>387</v>
      </c>
      <c r="D51" s="7">
        <v>25</v>
      </c>
      <c r="E51" s="7">
        <v>298977</v>
      </c>
      <c r="F51" s="7">
        <v>0</v>
      </c>
      <c r="G51" s="7">
        <v>0</v>
      </c>
      <c r="H51" s="7">
        <v>290211</v>
      </c>
      <c r="I51" s="7">
        <v>8766</v>
      </c>
      <c r="J51" s="7">
        <v>0</v>
      </c>
      <c r="K51" s="8">
        <v>313</v>
      </c>
      <c r="L51" s="8">
        <v>17</v>
      </c>
      <c r="M51" s="8">
        <v>228414</v>
      </c>
      <c r="N51" s="8">
        <v>0</v>
      </c>
      <c r="O51" s="8">
        <v>0</v>
      </c>
      <c r="P51" s="8">
        <v>222935</v>
      </c>
      <c r="Q51" s="8">
        <v>5479</v>
      </c>
      <c r="R51" s="8">
        <v>0</v>
      </c>
      <c r="S51" s="9">
        <v>74</v>
      </c>
      <c r="T51" s="9">
        <v>8</v>
      </c>
      <c r="U51" s="9">
        <v>70563</v>
      </c>
      <c r="V51" s="9">
        <v>0</v>
      </c>
      <c r="W51" s="9">
        <v>0</v>
      </c>
      <c r="X51" s="9">
        <v>67276</v>
      </c>
      <c r="Y51" s="9">
        <v>3287</v>
      </c>
      <c r="Z51" s="9">
        <v>0</v>
      </c>
      <c r="AB51" s="7">
        <f t="shared" si="1"/>
        <v>10677.75</v>
      </c>
      <c r="AC51" s="7">
        <f t="shared" si="2"/>
        <v>0</v>
      </c>
      <c r="AD51" s="7">
        <f t="shared" si="3"/>
        <v>10364.678571428571</v>
      </c>
    </row>
    <row r="52" spans="1:30" x14ac:dyDescent="0.3">
      <c r="A52" s="2">
        <v>41334</v>
      </c>
      <c r="B52" s="10">
        <f t="shared" si="0"/>
        <v>31</v>
      </c>
      <c r="C52" s="7">
        <v>457</v>
      </c>
      <c r="D52" s="7">
        <v>26</v>
      </c>
      <c r="E52" s="7">
        <v>297965</v>
      </c>
      <c r="F52" s="7">
        <v>0</v>
      </c>
      <c r="G52" s="7">
        <v>0</v>
      </c>
      <c r="H52" s="7">
        <v>288440</v>
      </c>
      <c r="I52" s="7">
        <v>9525</v>
      </c>
      <c r="J52" s="7">
        <v>0</v>
      </c>
      <c r="K52" s="8">
        <v>371</v>
      </c>
      <c r="L52" s="8">
        <v>19</v>
      </c>
      <c r="M52" s="8">
        <v>231910</v>
      </c>
      <c r="N52" s="8">
        <v>0</v>
      </c>
      <c r="O52" s="8">
        <v>0</v>
      </c>
      <c r="P52" s="8">
        <v>226320</v>
      </c>
      <c r="Q52" s="8">
        <v>5590</v>
      </c>
      <c r="R52" s="8">
        <v>0</v>
      </c>
      <c r="S52" s="9">
        <v>86</v>
      </c>
      <c r="T52" s="9">
        <v>7</v>
      </c>
      <c r="U52" s="9">
        <v>66055</v>
      </c>
      <c r="V52" s="9">
        <v>0</v>
      </c>
      <c r="W52" s="9">
        <v>0</v>
      </c>
      <c r="X52" s="9">
        <v>62120</v>
      </c>
      <c r="Y52" s="9">
        <v>3935</v>
      </c>
      <c r="Z52" s="9">
        <v>0</v>
      </c>
      <c r="AB52" s="7">
        <f t="shared" si="1"/>
        <v>9611.7741935483864</v>
      </c>
      <c r="AC52" s="7">
        <f t="shared" si="2"/>
        <v>0</v>
      </c>
      <c r="AD52" s="7">
        <f t="shared" si="3"/>
        <v>9304.5161290322576</v>
      </c>
    </row>
    <row r="53" spans="1:30" x14ac:dyDescent="0.3">
      <c r="A53" s="2">
        <v>41365</v>
      </c>
      <c r="B53" s="10">
        <f t="shared" si="0"/>
        <v>30</v>
      </c>
      <c r="C53" s="7">
        <v>435</v>
      </c>
      <c r="D53" s="7">
        <v>26</v>
      </c>
      <c r="E53" s="7">
        <v>301025</v>
      </c>
      <c r="F53" s="7">
        <v>0</v>
      </c>
      <c r="G53" s="7">
        <v>0</v>
      </c>
      <c r="H53" s="7">
        <v>290547</v>
      </c>
      <c r="I53" s="7">
        <v>10478</v>
      </c>
      <c r="J53" s="7">
        <v>0</v>
      </c>
      <c r="K53" s="8">
        <v>332</v>
      </c>
      <c r="L53" s="8">
        <v>19</v>
      </c>
      <c r="M53" s="8">
        <v>228002</v>
      </c>
      <c r="N53" s="8">
        <v>0</v>
      </c>
      <c r="O53" s="8">
        <v>0</v>
      </c>
      <c r="P53" s="8">
        <v>222333</v>
      </c>
      <c r="Q53" s="8">
        <v>5669</v>
      </c>
      <c r="R53" s="8">
        <v>0</v>
      </c>
      <c r="S53" s="9">
        <v>103</v>
      </c>
      <c r="T53" s="9">
        <v>7</v>
      </c>
      <c r="U53" s="9">
        <v>73023</v>
      </c>
      <c r="V53" s="9">
        <v>0</v>
      </c>
      <c r="W53" s="9">
        <v>0</v>
      </c>
      <c r="X53" s="9">
        <v>68214</v>
      </c>
      <c r="Y53" s="9">
        <v>4809</v>
      </c>
      <c r="Z53" s="9">
        <v>0</v>
      </c>
      <c r="AB53" s="7">
        <f t="shared" si="1"/>
        <v>10034.166666666666</v>
      </c>
      <c r="AC53" s="7">
        <f t="shared" si="2"/>
        <v>0</v>
      </c>
      <c r="AD53" s="7">
        <f t="shared" si="3"/>
        <v>9684.9</v>
      </c>
    </row>
    <row r="54" spans="1:30" x14ac:dyDescent="0.3">
      <c r="A54" s="2">
        <v>41395</v>
      </c>
      <c r="B54" s="10">
        <f t="shared" si="0"/>
        <v>31</v>
      </c>
      <c r="C54" s="7">
        <v>413</v>
      </c>
      <c r="D54" s="7">
        <v>27</v>
      </c>
      <c r="E54" s="7">
        <v>290918</v>
      </c>
      <c r="F54" s="7">
        <v>0</v>
      </c>
      <c r="G54" s="7">
        <v>0</v>
      </c>
      <c r="H54" s="7">
        <v>278637</v>
      </c>
      <c r="I54" s="7">
        <v>12281</v>
      </c>
      <c r="J54" s="7">
        <v>0</v>
      </c>
      <c r="K54" s="8">
        <v>300</v>
      </c>
      <c r="L54" s="8">
        <v>18</v>
      </c>
      <c r="M54" s="8">
        <v>207929</v>
      </c>
      <c r="N54" s="8">
        <v>0</v>
      </c>
      <c r="O54" s="8">
        <v>0</v>
      </c>
      <c r="P54" s="8">
        <v>200257</v>
      </c>
      <c r="Q54" s="8">
        <v>7672</v>
      </c>
      <c r="R54" s="8">
        <v>0</v>
      </c>
      <c r="S54" s="9">
        <v>113</v>
      </c>
      <c r="T54" s="9">
        <v>9</v>
      </c>
      <c r="U54" s="9">
        <v>82989</v>
      </c>
      <c r="V54" s="9">
        <v>0</v>
      </c>
      <c r="W54" s="9">
        <v>0</v>
      </c>
      <c r="X54" s="9">
        <v>78380</v>
      </c>
      <c r="Y54" s="9">
        <v>4609</v>
      </c>
      <c r="Z54" s="9">
        <v>0</v>
      </c>
      <c r="AB54" s="7">
        <f t="shared" si="1"/>
        <v>9384.4516129032254</v>
      </c>
      <c r="AC54" s="7">
        <f t="shared" si="2"/>
        <v>0</v>
      </c>
      <c r="AD54" s="7">
        <f t="shared" si="3"/>
        <v>8988.2903225806458</v>
      </c>
    </row>
    <row r="55" spans="1:30" x14ac:dyDescent="0.3">
      <c r="A55" s="2">
        <v>41426</v>
      </c>
      <c r="B55" s="10">
        <f t="shared" si="0"/>
        <v>30</v>
      </c>
      <c r="C55" s="7">
        <v>371</v>
      </c>
      <c r="D55" s="7">
        <v>27</v>
      </c>
      <c r="E55" s="7">
        <v>293606</v>
      </c>
      <c r="F55" s="7">
        <v>0</v>
      </c>
      <c r="G55" s="7">
        <v>0</v>
      </c>
      <c r="H55" s="7">
        <v>284499</v>
      </c>
      <c r="I55" s="7">
        <v>9107</v>
      </c>
      <c r="J55" s="7">
        <v>0</v>
      </c>
      <c r="K55" s="8">
        <v>256</v>
      </c>
      <c r="L55" s="8">
        <v>18</v>
      </c>
      <c r="M55" s="8">
        <v>214456</v>
      </c>
      <c r="N55" s="8">
        <v>0</v>
      </c>
      <c r="O55" s="8">
        <v>0</v>
      </c>
      <c r="P55" s="8">
        <v>208093</v>
      </c>
      <c r="Q55" s="8">
        <v>6363</v>
      </c>
      <c r="R55" s="8">
        <v>0</v>
      </c>
      <c r="S55" s="9">
        <v>115</v>
      </c>
      <c r="T55" s="9">
        <v>9</v>
      </c>
      <c r="U55" s="9">
        <v>79150</v>
      </c>
      <c r="V55" s="9">
        <v>0</v>
      </c>
      <c r="W55" s="9">
        <v>0</v>
      </c>
      <c r="X55" s="9">
        <v>76406</v>
      </c>
      <c r="Y55" s="9">
        <v>2744</v>
      </c>
      <c r="Z55" s="9">
        <v>0</v>
      </c>
      <c r="AB55" s="7">
        <f t="shared" si="1"/>
        <v>9786.8666666666668</v>
      </c>
      <c r="AC55" s="7">
        <f t="shared" si="2"/>
        <v>0</v>
      </c>
      <c r="AD55" s="7">
        <f t="shared" si="3"/>
        <v>9483.2999999999993</v>
      </c>
    </row>
    <row r="56" spans="1:30" x14ac:dyDescent="0.3">
      <c r="A56" s="2">
        <v>41456</v>
      </c>
      <c r="B56" s="10">
        <f t="shared" si="0"/>
        <v>31</v>
      </c>
      <c r="C56" s="7">
        <v>401</v>
      </c>
      <c r="D56" s="7">
        <v>26</v>
      </c>
      <c r="E56" s="7">
        <v>294932</v>
      </c>
      <c r="F56" s="7">
        <v>0</v>
      </c>
      <c r="G56" s="7">
        <v>0</v>
      </c>
      <c r="H56" s="7">
        <v>282036</v>
      </c>
      <c r="I56" s="7">
        <v>12896</v>
      </c>
      <c r="J56" s="7">
        <v>0</v>
      </c>
      <c r="K56" s="8">
        <v>302</v>
      </c>
      <c r="L56" s="8">
        <v>19</v>
      </c>
      <c r="M56" s="8">
        <v>215750</v>
      </c>
      <c r="N56" s="8">
        <v>0</v>
      </c>
      <c r="O56" s="8">
        <v>0</v>
      </c>
      <c r="P56" s="8">
        <v>205324</v>
      </c>
      <c r="Q56" s="8">
        <v>10426</v>
      </c>
      <c r="R56" s="8">
        <v>0</v>
      </c>
      <c r="S56" s="9">
        <v>99</v>
      </c>
      <c r="T56" s="9">
        <v>7</v>
      </c>
      <c r="U56" s="9">
        <v>79182</v>
      </c>
      <c r="V56" s="9">
        <v>0</v>
      </c>
      <c r="W56" s="9">
        <v>0</v>
      </c>
      <c r="X56" s="9">
        <v>76712</v>
      </c>
      <c r="Y56" s="9">
        <v>2470</v>
      </c>
      <c r="Z56" s="9">
        <v>0</v>
      </c>
      <c r="AB56" s="7">
        <f t="shared" si="1"/>
        <v>9513.9354838709678</v>
      </c>
      <c r="AC56" s="7">
        <f t="shared" si="2"/>
        <v>0</v>
      </c>
      <c r="AD56" s="7">
        <f t="shared" si="3"/>
        <v>9097.9354838709678</v>
      </c>
    </row>
    <row r="57" spans="1:30" x14ac:dyDescent="0.3">
      <c r="A57" s="2">
        <v>41487</v>
      </c>
      <c r="B57" s="10">
        <f t="shared" si="0"/>
        <v>31</v>
      </c>
      <c r="C57" s="7">
        <v>395</v>
      </c>
      <c r="D57" s="7">
        <v>22</v>
      </c>
      <c r="E57" s="7">
        <v>272514</v>
      </c>
      <c r="F57" s="7">
        <v>0</v>
      </c>
      <c r="G57" s="7">
        <v>0</v>
      </c>
      <c r="H57" s="7">
        <v>247064</v>
      </c>
      <c r="I57" s="7">
        <v>25450</v>
      </c>
      <c r="J57" s="7">
        <v>0</v>
      </c>
      <c r="K57" s="8">
        <v>291</v>
      </c>
      <c r="L57" s="8">
        <v>16</v>
      </c>
      <c r="M57" s="8">
        <v>219494</v>
      </c>
      <c r="N57" s="8">
        <v>0</v>
      </c>
      <c r="O57" s="8">
        <v>0</v>
      </c>
      <c r="P57" s="8">
        <v>196710</v>
      </c>
      <c r="Q57" s="8">
        <v>22784</v>
      </c>
      <c r="R57" s="8">
        <v>0</v>
      </c>
      <c r="S57" s="9">
        <v>104</v>
      </c>
      <c r="T57" s="9">
        <v>6</v>
      </c>
      <c r="U57" s="9">
        <v>53020</v>
      </c>
      <c r="V57" s="9">
        <v>0</v>
      </c>
      <c r="W57" s="9">
        <v>0</v>
      </c>
      <c r="X57" s="9">
        <v>50354</v>
      </c>
      <c r="Y57" s="9">
        <v>2666</v>
      </c>
      <c r="Z57" s="9">
        <v>0</v>
      </c>
      <c r="AB57" s="7">
        <f t="shared" si="1"/>
        <v>8790.7741935483864</v>
      </c>
      <c r="AC57" s="7">
        <f t="shared" si="2"/>
        <v>0</v>
      </c>
      <c r="AD57" s="7">
        <f t="shared" si="3"/>
        <v>7969.8064516129034</v>
      </c>
    </row>
    <row r="58" spans="1:30" x14ac:dyDescent="0.3">
      <c r="A58" s="2">
        <v>41518</v>
      </c>
      <c r="B58" s="10">
        <f t="shared" si="0"/>
        <v>30</v>
      </c>
      <c r="C58" s="7">
        <v>346</v>
      </c>
      <c r="D58" s="7">
        <v>22</v>
      </c>
      <c r="E58" s="7">
        <v>256223</v>
      </c>
      <c r="F58" s="7">
        <v>0</v>
      </c>
      <c r="G58" s="7">
        <v>0</v>
      </c>
      <c r="H58" s="7">
        <v>248701</v>
      </c>
      <c r="I58" s="7">
        <v>7522</v>
      </c>
      <c r="J58" s="7">
        <v>0</v>
      </c>
      <c r="K58" s="8">
        <v>240</v>
      </c>
      <c r="L58" s="8">
        <v>15</v>
      </c>
      <c r="M58" s="8">
        <v>209971</v>
      </c>
      <c r="N58" s="8">
        <v>0</v>
      </c>
      <c r="O58" s="8">
        <v>0</v>
      </c>
      <c r="P58" s="8">
        <v>204357</v>
      </c>
      <c r="Q58" s="8">
        <v>5614</v>
      </c>
      <c r="R58" s="8">
        <v>0</v>
      </c>
      <c r="S58" s="9">
        <v>106</v>
      </c>
      <c r="T58" s="9">
        <v>7</v>
      </c>
      <c r="U58" s="9">
        <v>46252</v>
      </c>
      <c r="V58" s="9">
        <v>0</v>
      </c>
      <c r="W58" s="9">
        <v>0</v>
      </c>
      <c r="X58" s="9">
        <v>44344</v>
      </c>
      <c r="Y58" s="9">
        <v>1908</v>
      </c>
      <c r="Z58" s="9">
        <v>0</v>
      </c>
      <c r="AB58" s="7">
        <f t="shared" si="1"/>
        <v>8540.7666666666664</v>
      </c>
      <c r="AC58" s="7">
        <f t="shared" si="2"/>
        <v>0</v>
      </c>
      <c r="AD58" s="7">
        <f t="shared" si="3"/>
        <v>8290.0333333333328</v>
      </c>
    </row>
    <row r="59" spans="1:30" x14ac:dyDescent="0.3">
      <c r="A59" s="2">
        <v>41548</v>
      </c>
      <c r="B59" s="10">
        <f t="shared" si="0"/>
        <v>31</v>
      </c>
      <c r="C59" s="7">
        <v>340</v>
      </c>
      <c r="D59" s="7">
        <v>23</v>
      </c>
      <c r="E59" s="7">
        <v>311867</v>
      </c>
      <c r="F59" s="7">
        <v>0</v>
      </c>
      <c r="G59" s="7">
        <v>0</v>
      </c>
      <c r="H59" s="7">
        <v>304921</v>
      </c>
      <c r="I59" s="7">
        <v>6946</v>
      </c>
      <c r="J59" s="7">
        <v>0</v>
      </c>
      <c r="K59" s="8">
        <v>249</v>
      </c>
      <c r="L59" s="8">
        <v>17</v>
      </c>
      <c r="M59" s="8">
        <v>230334</v>
      </c>
      <c r="N59" s="8">
        <v>0</v>
      </c>
      <c r="O59" s="8">
        <v>0</v>
      </c>
      <c r="P59" s="8">
        <v>226443</v>
      </c>
      <c r="Q59" s="8">
        <v>3891</v>
      </c>
      <c r="R59" s="8">
        <v>0</v>
      </c>
      <c r="S59" s="9">
        <v>91</v>
      </c>
      <c r="T59" s="9">
        <v>6</v>
      </c>
      <c r="U59" s="9">
        <v>81533</v>
      </c>
      <c r="V59" s="9">
        <v>0</v>
      </c>
      <c r="W59" s="9">
        <v>0</v>
      </c>
      <c r="X59" s="9">
        <v>78478</v>
      </c>
      <c r="Y59" s="9">
        <v>3055</v>
      </c>
      <c r="Z59" s="9">
        <v>0</v>
      </c>
      <c r="AB59" s="7">
        <f t="shared" si="1"/>
        <v>10060.225806451614</v>
      </c>
      <c r="AC59" s="7">
        <f t="shared" si="2"/>
        <v>0</v>
      </c>
      <c r="AD59" s="7">
        <f t="shared" si="3"/>
        <v>9836.1612903225814</v>
      </c>
    </row>
    <row r="60" spans="1:30" x14ac:dyDescent="0.3">
      <c r="A60" s="2">
        <v>41579</v>
      </c>
      <c r="B60" s="10">
        <f t="shared" si="0"/>
        <v>30</v>
      </c>
      <c r="C60" s="7">
        <v>390</v>
      </c>
      <c r="D60" s="7">
        <v>21</v>
      </c>
      <c r="E60" s="7">
        <v>270759</v>
      </c>
      <c r="F60" s="7">
        <v>0</v>
      </c>
      <c r="G60" s="7">
        <v>0</v>
      </c>
      <c r="H60" s="7">
        <v>260211</v>
      </c>
      <c r="I60" s="7">
        <v>10548</v>
      </c>
      <c r="J60" s="7">
        <v>0</v>
      </c>
      <c r="K60" s="8">
        <v>286</v>
      </c>
      <c r="L60" s="8">
        <v>13</v>
      </c>
      <c r="M60" s="8">
        <v>221784</v>
      </c>
      <c r="N60" s="8">
        <v>0</v>
      </c>
      <c r="O60" s="8">
        <v>0</v>
      </c>
      <c r="P60" s="8">
        <v>218260</v>
      </c>
      <c r="Q60" s="8">
        <v>3524</v>
      </c>
      <c r="R60" s="8">
        <v>0</v>
      </c>
      <c r="S60" s="9">
        <v>104</v>
      </c>
      <c r="T60" s="9">
        <v>8</v>
      </c>
      <c r="U60" s="9">
        <v>48975</v>
      </c>
      <c r="V60" s="9">
        <v>0</v>
      </c>
      <c r="W60" s="9">
        <v>0</v>
      </c>
      <c r="X60" s="9">
        <v>41951</v>
      </c>
      <c r="Y60" s="9">
        <v>7024</v>
      </c>
      <c r="Z60" s="9">
        <v>0</v>
      </c>
      <c r="AB60" s="7">
        <f t="shared" si="1"/>
        <v>9025.2999999999993</v>
      </c>
      <c r="AC60" s="7">
        <f t="shared" si="2"/>
        <v>0</v>
      </c>
      <c r="AD60" s="7">
        <f t="shared" si="3"/>
        <v>8673.7000000000007</v>
      </c>
    </row>
    <row r="61" spans="1:30" x14ac:dyDescent="0.3">
      <c r="A61" s="2">
        <v>41609</v>
      </c>
      <c r="B61" s="10">
        <f t="shared" si="0"/>
        <v>31</v>
      </c>
      <c r="C61" s="7">
        <v>367</v>
      </c>
      <c r="D61" s="7">
        <v>21</v>
      </c>
      <c r="E61" s="7">
        <v>253001</v>
      </c>
      <c r="F61" s="7">
        <v>0</v>
      </c>
      <c r="G61" s="7">
        <v>0</v>
      </c>
      <c r="H61" s="7">
        <v>247334</v>
      </c>
      <c r="I61" s="7">
        <v>5667</v>
      </c>
      <c r="J61" s="7">
        <v>0</v>
      </c>
      <c r="K61" s="8">
        <v>279</v>
      </c>
      <c r="L61" s="8">
        <v>16</v>
      </c>
      <c r="M61" s="8">
        <v>207631</v>
      </c>
      <c r="N61" s="8">
        <v>0</v>
      </c>
      <c r="O61" s="8">
        <v>0</v>
      </c>
      <c r="P61" s="8">
        <v>205043</v>
      </c>
      <c r="Q61" s="8">
        <v>2588</v>
      </c>
      <c r="R61" s="8">
        <v>0</v>
      </c>
      <c r="S61" s="9">
        <v>88</v>
      </c>
      <c r="T61" s="9">
        <v>5</v>
      </c>
      <c r="U61" s="9">
        <v>45370</v>
      </c>
      <c r="V61" s="9">
        <v>0</v>
      </c>
      <c r="W61" s="9">
        <v>0</v>
      </c>
      <c r="X61" s="9">
        <v>42291</v>
      </c>
      <c r="Y61" s="9">
        <v>3079</v>
      </c>
      <c r="Z61" s="9">
        <v>0</v>
      </c>
      <c r="AB61" s="7">
        <f t="shared" si="1"/>
        <v>8161.322580645161</v>
      </c>
      <c r="AC61" s="7">
        <f t="shared" si="2"/>
        <v>0</v>
      </c>
      <c r="AD61" s="7">
        <f t="shared" si="3"/>
        <v>7978.5161290322585</v>
      </c>
    </row>
    <row r="62" spans="1:30" x14ac:dyDescent="0.3">
      <c r="A62" s="2">
        <v>41640</v>
      </c>
      <c r="B62" s="10">
        <f t="shared" si="0"/>
        <v>31</v>
      </c>
      <c r="C62" s="7">
        <v>441</v>
      </c>
      <c r="D62" s="7">
        <v>21</v>
      </c>
      <c r="E62" s="7">
        <v>309989</v>
      </c>
      <c r="F62" s="7">
        <v>0</v>
      </c>
      <c r="G62" s="7">
        <v>0</v>
      </c>
      <c r="H62" s="7">
        <v>304287</v>
      </c>
      <c r="I62" s="7">
        <v>5702</v>
      </c>
      <c r="J62" s="7">
        <v>0</v>
      </c>
      <c r="K62" s="8">
        <v>317</v>
      </c>
      <c r="L62" s="8">
        <v>15</v>
      </c>
      <c r="M62" s="8">
        <v>196866</v>
      </c>
      <c r="N62" s="8">
        <v>0</v>
      </c>
      <c r="O62" s="8">
        <v>0</v>
      </c>
      <c r="P62" s="8">
        <v>194730</v>
      </c>
      <c r="Q62" s="8">
        <v>2136</v>
      </c>
      <c r="R62" s="8">
        <v>0</v>
      </c>
      <c r="S62" s="9">
        <v>124</v>
      </c>
      <c r="T62" s="9">
        <v>6</v>
      </c>
      <c r="U62" s="9">
        <v>113123</v>
      </c>
      <c r="V62" s="9">
        <v>0</v>
      </c>
      <c r="W62" s="9">
        <v>0</v>
      </c>
      <c r="X62" s="9">
        <v>109557</v>
      </c>
      <c r="Y62" s="9">
        <v>3566</v>
      </c>
      <c r="Z62" s="9">
        <v>0</v>
      </c>
      <c r="AB62" s="7">
        <f t="shared" si="1"/>
        <v>9999.645161290322</v>
      </c>
      <c r="AC62" s="7">
        <f t="shared" si="2"/>
        <v>0</v>
      </c>
      <c r="AD62" s="7">
        <f t="shared" si="3"/>
        <v>9815.7096774193542</v>
      </c>
    </row>
    <row r="63" spans="1:30" x14ac:dyDescent="0.3">
      <c r="A63" s="2">
        <v>41671</v>
      </c>
      <c r="B63" s="10">
        <f t="shared" si="0"/>
        <v>28</v>
      </c>
      <c r="C63" s="7">
        <v>408</v>
      </c>
      <c r="D63" s="7">
        <v>25</v>
      </c>
      <c r="E63" s="7">
        <v>280113</v>
      </c>
      <c r="F63" s="7">
        <v>0</v>
      </c>
      <c r="G63" s="7">
        <v>0</v>
      </c>
      <c r="H63" s="7">
        <v>276312</v>
      </c>
      <c r="I63" s="7">
        <v>3801</v>
      </c>
      <c r="J63" s="7">
        <v>0</v>
      </c>
      <c r="K63" s="8">
        <v>283</v>
      </c>
      <c r="L63" s="8">
        <v>17</v>
      </c>
      <c r="M63" s="8">
        <v>197714</v>
      </c>
      <c r="N63" s="8">
        <v>0</v>
      </c>
      <c r="O63" s="8">
        <v>0</v>
      </c>
      <c r="P63" s="8">
        <v>195345</v>
      </c>
      <c r="Q63" s="8">
        <v>2369</v>
      </c>
      <c r="R63" s="8">
        <v>0</v>
      </c>
      <c r="S63" s="9">
        <v>125</v>
      </c>
      <c r="T63" s="9">
        <v>8</v>
      </c>
      <c r="U63" s="9">
        <v>82399</v>
      </c>
      <c r="V63" s="9">
        <v>0</v>
      </c>
      <c r="W63" s="9">
        <v>0</v>
      </c>
      <c r="X63" s="9">
        <v>80967</v>
      </c>
      <c r="Y63" s="9">
        <v>1432</v>
      </c>
      <c r="Z63" s="9">
        <v>0</v>
      </c>
      <c r="AB63" s="7">
        <f t="shared" si="1"/>
        <v>10004.035714285714</v>
      </c>
      <c r="AC63" s="7">
        <f t="shared" si="2"/>
        <v>0</v>
      </c>
      <c r="AD63" s="7">
        <f t="shared" si="3"/>
        <v>9868.2857142857138</v>
      </c>
    </row>
    <row r="64" spans="1:30" x14ac:dyDescent="0.3">
      <c r="A64" s="2">
        <v>41699</v>
      </c>
      <c r="B64" s="10">
        <f t="shared" si="0"/>
        <v>31</v>
      </c>
      <c r="C64" s="7">
        <v>441</v>
      </c>
      <c r="D64" s="7">
        <v>20</v>
      </c>
      <c r="E64" s="7">
        <v>306712</v>
      </c>
      <c r="F64" s="7">
        <v>0</v>
      </c>
      <c r="G64" s="7">
        <v>0</v>
      </c>
      <c r="H64" s="7">
        <v>298717</v>
      </c>
      <c r="I64" s="7">
        <v>7995</v>
      </c>
      <c r="J64" s="7">
        <v>0</v>
      </c>
      <c r="K64" s="8">
        <v>316</v>
      </c>
      <c r="L64" s="8">
        <v>14</v>
      </c>
      <c r="M64" s="8">
        <v>198008</v>
      </c>
      <c r="N64" s="8">
        <v>0</v>
      </c>
      <c r="O64" s="8">
        <v>0</v>
      </c>
      <c r="P64" s="8">
        <v>193924</v>
      </c>
      <c r="Q64" s="8">
        <v>4084</v>
      </c>
      <c r="R64" s="8">
        <v>0</v>
      </c>
      <c r="S64" s="9">
        <v>125</v>
      </c>
      <c r="T64" s="9">
        <v>6</v>
      </c>
      <c r="U64" s="9">
        <v>108704</v>
      </c>
      <c r="V64" s="9">
        <v>0</v>
      </c>
      <c r="W64" s="9">
        <v>0</v>
      </c>
      <c r="X64" s="9">
        <v>104793</v>
      </c>
      <c r="Y64" s="9">
        <v>3911</v>
      </c>
      <c r="Z64" s="9">
        <v>0</v>
      </c>
      <c r="AB64" s="7">
        <f t="shared" si="1"/>
        <v>9893.9354838709678</v>
      </c>
      <c r="AC64" s="7">
        <f t="shared" si="2"/>
        <v>0</v>
      </c>
      <c r="AD64" s="7">
        <f t="shared" si="3"/>
        <v>9636.032258064517</v>
      </c>
    </row>
    <row r="65" spans="1:30" x14ac:dyDescent="0.3">
      <c r="A65" s="2">
        <v>41730</v>
      </c>
      <c r="B65" s="10">
        <f t="shared" si="0"/>
        <v>30</v>
      </c>
      <c r="C65" s="7">
        <v>380</v>
      </c>
      <c r="D65" s="7">
        <v>21</v>
      </c>
      <c r="E65" s="7">
        <v>262265</v>
      </c>
      <c r="F65" s="7">
        <v>0</v>
      </c>
      <c r="G65" s="7">
        <v>0</v>
      </c>
      <c r="H65" s="7">
        <v>254287</v>
      </c>
      <c r="I65" s="7">
        <v>7978</v>
      </c>
      <c r="J65" s="7">
        <v>0</v>
      </c>
      <c r="K65" s="8">
        <v>244</v>
      </c>
      <c r="L65" s="8">
        <v>14</v>
      </c>
      <c r="M65" s="8">
        <v>184985</v>
      </c>
      <c r="N65" s="8">
        <v>0</v>
      </c>
      <c r="O65" s="8">
        <v>0</v>
      </c>
      <c r="P65" s="8">
        <v>182894</v>
      </c>
      <c r="Q65" s="8">
        <v>2091</v>
      </c>
      <c r="R65" s="8">
        <v>0</v>
      </c>
      <c r="S65" s="9">
        <v>136</v>
      </c>
      <c r="T65" s="9">
        <v>7</v>
      </c>
      <c r="U65" s="9">
        <v>77280</v>
      </c>
      <c r="V65" s="9">
        <v>0</v>
      </c>
      <c r="W65" s="9">
        <v>0</v>
      </c>
      <c r="X65" s="9">
        <v>71393</v>
      </c>
      <c r="Y65" s="9">
        <v>5887</v>
      </c>
      <c r="Z65" s="9">
        <v>0</v>
      </c>
      <c r="AB65" s="7">
        <f t="shared" si="1"/>
        <v>8742.1666666666661</v>
      </c>
      <c r="AC65" s="7">
        <f t="shared" si="2"/>
        <v>0</v>
      </c>
      <c r="AD65" s="7">
        <f t="shared" si="3"/>
        <v>8476.2333333333336</v>
      </c>
    </row>
    <row r="66" spans="1:30" x14ac:dyDescent="0.3">
      <c r="A66" s="2">
        <v>41760</v>
      </c>
      <c r="B66" s="10">
        <f t="shared" ref="B66:B129" si="4">_xlfn.DAYS(EOMONTH(A66,0),A66)+1</f>
        <v>31</v>
      </c>
      <c r="C66" s="7">
        <v>338</v>
      </c>
      <c r="D66" s="7">
        <v>21</v>
      </c>
      <c r="E66" s="7">
        <v>244887</v>
      </c>
      <c r="F66" s="7">
        <v>0</v>
      </c>
      <c r="G66" s="7">
        <v>0</v>
      </c>
      <c r="H66" s="7">
        <v>238209</v>
      </c>
      <c r="I66" s="7">
        <v>6678</v>
      </c>
      <c r="J66" s="7">
        <v>0</v>
      </c>
      <c r="K66" s="8">
        <v>230</v>
      </c>
      <c r="L66" s="8">
        <v>15</v>
      </c>
      <c r="M66" s="8">
        <v>179309</v>
      </c>
      <c r="N66" s="8">
        <v>0</v>
      </c>
      <c r="O66" s="8">
        <v>0</v>
      </c>
      <c r="P66" s="8">
        <v>175880</v>
      </c>
      <c r="Q66" s="8">
        <v>3429</v>
      </c>
      <c r="R66" s="8">
        <v>0</v>
      </c>
      <c r="S66" s="9">
        <v>108</v>
      </c>
      <c r="T66" s="9">
        <v>6</v>
      </c>
      <c r="U66" s="9">
        <v>65578</v>
      </c>
      <c r="V66" s="9">
        <v>0</v>
      </c>
      <c r="W66" s="9">
        <v>0</v>
      </c>
      <c r="X66" s="9">
        <v>62329</v>
      </c>
      <c r="Y66" s="9">
        <v>3249</v>
      </c>
      <c r="Z66" s="9">
        <v>0</v>
      </c>
      <c r="AB66" s="7">
        <f t="shared" ref="AB66:AB129" si="5">E66/B66</f>
        <v>7899.5806451612907</v>
      </c>
      <c r="AC66" s="7">
        <f t="shared" ref="AC66:AC129" si="6">G66/B66</f>
        <v>0</v>
      </c>
      <c r="AD66" s="7">
        <f t="shared" ref="AD66:AD129" si="7">H66/B66</f>
        <v>7684.1612903225805</v>
      </c>
    </row>
    <row r="67" spans="1:30" x14ac:dyDescent="0.3">
      <c r="A67" s="2">
        <v>41791</v>
      </c>
      <c r="B67" s="10">
        <f t="shared" si="4"/>
        <v>30</v>
      </c>
      <c r="C67" s="7">
        <v>315</v>
      </c>
      <c r="D67" s="7">
        <v>22</v>
      </c>
      <c r="E67" s="7">
        <v>241001</v>
      </c>
      <c r="F67" s="7">
        <v>0</v>
      </c>
      <c r="G67" s="7">
        <v>0</v>
      </c>
      <c r="H67" s="7">
        <v>233551</v>
      </c>
      <c r="I67" s="7">
        <v>7450</v>
      </c>
      <c r="J67" s="7">
        <v>0</v>
      </c>
      <c r="K67" s="8">
        <v>215</v>
      </c>
      <c r="L67" s="8">
        <v>16</v>
      </c>
      <c r="M67" s="8">
        <v>174027</v>
      </c>
      <c r="N67" s="8">
        <v>0</v>
      </c>
      <c r="O67" s="8">
        <v>0</v>
      </c>
      <c r="P67" s="8">
        <v>169882</v>
      </c>
      <c r="Q67" s="8">
        <v>4145</v>
      </c>
      <c r="R67" s="8">
        <v>0</v>
      </c>
      <c r="S67" s="9">
        <v>100</v>
      </c>
      <c r="T67" s="9">
        <v>6</v>
      </c>
      <c r="U67" s="9">
        <v>66974</v>
      </c>
      <c r="V67" s="9">
        <v>0</v>
      </c>
      <c r="W67" s="9">
        <v>0</v>
      </c>
      <c r="X67" s="9">
        <v>63669</v>
      </c>
      <c r="Y67" s="9">
        <v>3305</v>
      </c>
      <c r="Z67" s="9">
        <v>0</v>
      </c>
      <c r="AB67" s="7">
        <f t="shared" si="5"/>
        <v>8033.3666666666668</v>
      </c>
      <c r="AC67" s="7">
        <f t="shared" si="6"/>
        <v>0</v>
      </c>
      <c r="AD67" s="7">
        <f t="shared" si="7"/>
        <v>7785.0333333333338</v>
      </c>
    </row>
    <row r="68" spans="1:30" x14ac:dyDescent="0.3">
      <c r="A68" s="2">
        <v>41821</v>
      </c>
      <c r="B68" s="10">
        <f t="shared" si="4"/>
        <v>31</v>
      </c>
      <c r="C68" s="7">
        <v>321</v>
      </c>
      <c r="D68" s="7">
        <v>23</v>
      </c>
      <c r="E68" s="7">
        <v>257682</v>
      </c>
      <c r="F68" s="7">
        <v>0</v>
      </c>
      <c r="G68" s="7">
        <v>0</v>
      </c>
      <c r="H68" s="7">
        <v>247919</v>
      </c>
      <c r="I68" s="7">
        <v>9763</v>
      </c>
      <c r="J68" s="7">
        <v>0</v>
      </c>
      <c r="K68" s="8">
        <v>227</v>
      </c>
      <c r="L68" s="8">
        <v>17</v>
      </c>
      <c r="M68" s="8">
        <v>185170</v>
      </c>
      <c r="N68" s="8">
        <v>0</v>
      </c>
      <c r="O68" s="8">
        <v>0</v>
      </c>
      <c r="P68" s="8">
        <v>178856</v>
      </c>
      <c r="Q68" s="8">
        <v>6314</v>
      </c>
      <c r="R68" s="8">
        <v>0</v>
      </c>
      <c r="S68" s="9">
        <v>94</v>
      </c>
      <c r="T68" s="9">
        <v>6</v>
      </c>
      <c r="U68" s="9">
        <v>72512</v>
      </c>
      <c r="V68" s="9">
        <v>0</v>
      </c>
      <c r="W68" s="9">
        <v>0</v>
      </c>
      <c r="X68" s="9">
        <v>69062</v>
      </c>
      <c r="Y68" s="9">
        <v>3449</v>
      </c>
      <c r="Z68" s="9">
        <v>0</v>
      </c>
      <c r="AB68" s="7">
        <f t="shared" si="5"/>
        <v>8312.322580645161</v>
      </c>
      <c r="AC68" s="7">
        <f t="shared" si="6"/>
        <v>0</v>
      </c>
      <c r="AD68" s="7">
        <f t="shared" si="7"/>
        <v>7997.3870967741932</v>
      </c>
    </row>
    <row r="69" spans="1:30" x14ac:dyDescent="0.3">
      <c r="A69" s="2">
        <v>41852</v>
      </c>
      <c r="B69" s="10">
        <f t="shared" si="4"/>
        <v>31</v>
      </c>
      <c r="C69" s="7">
        <v>344</v>
      </c>
      <c r="D69" s="7">
        <v>21</v>
      </c>
      <c r="E69" s="7">
        <v>206264</v>
      </c>
      <c r="F69" s="7">
        <v>0</v>
      </c>
      <c r="G69" s="7">
        <v>0</v>
      </c>
      <c r="H69" s="7">
        <v>203076</v>
      </c>
      <c r="I69" s="7">
        <v>3188</v>
      </c>
      <c r="J69" s="7">
        <v>0</v>
      </c>
      <c r="K69" s="8">
        <v>242</v>
      </c>
      <c r="L69" s="8">
        <v>15</v>
      </c>
      <c r="M69" s="8">
        <v>143730</v>
      </c>
      <c r="N69" s="8">
        <v>0</v>
      </c>
      <c r="O69" s="8">
        <v>0</v>
      </c>
      <c r="P69" s="8">
        <v>142073</v>
      </c>
      <c r="Q69" s="8">
        <v>1657</v>
      </c>
      <c r="R69" s="8">
        <v>0</v>
      </c>
      <c r="S69" s="9">
        <v>102</v>
      </c>
      <c r="T69" s="9">
        <v>6</v>
      </c>
      <c r="U69" s="9">
        <v>62534</v>
      </c>
      <c r="V69" s="9">
        <v>0</v>
      </c>
      <c r="W69" s="9">
        <v>0</v>
      </c>
      <c r="X69" s="9">
        <v>61003</v>
      </c>
      <c r="Y69" s="9">
        <v>1531</v>
      </c>
      <c r="Z69" s="9">
        <v>0</v>
      </c>
      <c r="AB69" s="7">
        <f t="shared" si="5"/>
        <v>6653.677419354839</v>
      </c>
      <c r="AC69" s="7">
        <f t="shared" si="6"/>
        <v>0</v>
      </c>
      <c r="AD69" s="7">
        <f t="shared" si="7"/>
        <v>6550.8387096774195</v>
      </c>
    </row>
    <row r="70" spans="1:30" x14ac:dyDescent="0.3">
      <c r="A70" s="2">
        <v>41883</v>
      </c>
      <c r="B70" s="10">
        <f t="shared" si="4"/>
        <v>30</v>
      </c>
      <c r="C70" s="7">
        <v>305</v>
      </c>
      <c r="D70" s="7">
        <v>20</v>
      </c>
      <c r="E70" s="7">
        <v>210849</v>
      </c>
      <c r="F70" s="7">
        <v>0</v>
      </c>
      <c r="G70" s="7">
        <v>0</v>
      </c>
      <c r="H70" s="7">
        <v>207401</v>
      </c>
      <c r="I70" s="7">
        <v>3448</v>
      </c>
      <c r="J70" s="7">
        <v>0</v>
      </c>
      <c r="K70" s="8">
        <v>223</v>
      </c>
      <c r="L70" s="8">
        <v>15</v>
      </c>
      <c r="M70" s="8">
        <v>168204</v>
      </c>
      <c r="N70" s="8">
        <v>0</v>
      </c>
      <c r="O70" s="8">
        <v>0</v>
      </c>
      <c r="P70" s="8">
        <v>165819</v>
      </c>
      <c r="Q70" s="8">
        <v>2385</v>
      </c>
      <c r="R70" s="8">
        <v>0</v>
      </c>
      <c r="S70" s="9">
        <v>82</v>
      </c>
      <c r="T70" s="9">
        <v>5</v>
      </c>
      <c r="U70" s="9">
        <v>42645</v>
      </c>
      <c r="V70" s="9">
        <v>0</v>
      </c>
      <c r="W70" s="9">
        <v>0</v>
      </c>
      <c r="X70" s="9">
        <v>41582</v>
      </c>
      <c r="Y70" s="9">
        <v>1063</v>
      </c>
      <c r="Z70" s="9">
        <v>0</v>
      </c>
      <c r="AB70" s="7">
        <f t="shared" si="5"/>
        <v>7028.3</v>
      </c>
      <c r="AC70" s="7">
        <f t="shared" si="6"/>
        <v>0</v>
      </c>
      <c r="AD70" s="7">
        <f t="shared" si="7"/>
        <v>6913.3666666666668</v>
      </c>
    </row>
    <row r="71" spans="1:30" x14ac:dyDescent="0.3">
      <c r="A71" s="2">
        <v>41913</v>
      </c>
      <c r="B71" s="10">
        <f t="shared" si="4"/>
        <v>31</v>
      </c>
      <c r="C71" s="7">
        <v>448</v>
      </c>
      <c r="D71" s="7">
        <v>27</v>
      </c>
      <c r="E71" s="7">
        <v>274373</v>
      </c>
      <c r="F71" s="7">
        <v>0</v>
      </c>
      <c r="G71" s="7">
        <v>0</v>
      </c>
      <c r="H71" s="7">
        <v>267575</v>
      </c>
      <c r="I71" s="7">
        <v>6798</v>
      </c>
      <c r="J71" s="7">
        <v>0</v>
      </c>
      <c r="K71" s="8">
        <v>324</v>
      </c>
      <c r="L71" s="8">
        <v>19</v>
      </c>
      <c r="M71" s="8">
        <v>210364</v>
      </c>
      <c r="N71" s="8">
        <v>0</v>
      </c>
      <c r="O71" s="8">
        <v>0</v>
      </c>
      <c r="P71" s="8">
        <v>206572</v>
      </c>
      <c r="Q71" s="8">
        <v>3792</v>
      </c>
      <c r="R71" s="8">
        <v>0</v>
      </c>
      <c r="S71" s="9">
        <v>124</v>
      </c>
      <c r="T71" s="9">
        <v>8</v>
      </c>
      <c r="U71" s="9">
        <v>64009</v>
      </c>
      <c r="V71" s="9">
        <v>0</v>
      </c>
      <c r="W71" s="9">
        <v>0</v>
      </c>
      <c r="X71" s="9">
        <v>61003</v>
      </c>
      <c r="Y71" s="9">
        <v>3006</v>
      </c>
      <c r="Z71" s="9">
        <v>0</v>
      </c>
      <c r="AB71" s="7">
        <f t="shared" si="5"/>
        <v>8850.7419354838712</v>
      </c>
      <c r="AC71" s="7">
        <f t="shared" si="6"/>
        <v>0</v>
      </c>
      <c r="AD71" s="7">
        <f t="shared" si="7"/>
        <v>8631.4516129032254</v>
      </c>
    </row>
    <row r="72" spans="1:30" x14ac:dyDescent="0.3">
      <c r="A72" s="2">
        <v>41944</v>
      </c>
      <c r="B72" s="10">
        <f t="shared" si="4"/>
        <v>30</v>
      </c>
      <c r="C72" s="7">
        <v>523</v>
      </c>
      <c r="D72" s="7">
        <v>19</v>
      </c>
      <c r="E72" s="7">
        <v>325288</v>
      </c>
      <c r="F72" s="7">
        <v>0</v>
      </c>
      <c r="G72" s="7">
        <v>0</v>
      </c>
      <c r="H72" s="7">
        <v>319908</v>
      </c>
      <c r="I72" s="7">
        <v>5380</v>
      </c>
      <c r="J72" s="7">
        <v>0</v>
      </c>
      <c r="K72" s="8">
        <v>346</v>
      </c>
      <c r="L72" s="8">
        <v>13</v>
      </c>
      <c r="M72" s="8">
        <v>253834</v>
      </c>
      <c r="N72" s="8">
        <v>0</v>
      </c>
      <c r="O72" s="8">
        <v>0</v>
      </c>
      <c r="P72" s="8">
        <v>251860</v>
      </c>
      <c r="Q72" s="8">
        <v>1974</v>
      </c>
      <c r="R72" s="8">
        <v>0</v>
      </c>
      <c r="S72" s="9">
        <v>177</v>
      </c>
      <c r="T72" s="9">
        <v>6</v>
      </c>
      <c r="U72" s="9">
        <v>71454</v>
      </c>
      <c r="V72" s="9">
        <v>0</v>
      </c>
      <c r="W72" s="9">
        <v>0</v>
      </c>
      <c r="X72" s="9">
        <v>68048</v>
      </c>
      <c r="Y72" s="9">
        <v>3406</v>
      </c>
      <c r="Z72" s="9">
        <v>0</v>
      </c>
      <c r="AB72" s="7">
        <f t="shared" si="5"/>
        <v>10842.933333333332</v>
      </c>
      <c r="AC72" s="7">
        <f t="shared" si="6"/>
        <v>0</v>
      </c>
      <c r="AD72" s="7">
        <f t="shared" si="7"/>
        <v>10663.6</v>
      </c>
    </row>
    <row r="73" spans="1:30" x14ac:dyDescent="0.3">
      <c r="A73" s="2">
        <v>41974</v>
      </c>
      <c r="B73" s="10">
        <f t="shared" si="4"/>
        <v>31</v>
      </c>
      <c r="C73" s="7">
        <v>435</v>
      </c>
      <c r="D73" s="7">
        <v>20</v>
      </c>
      <c r="E73" s="7">
        <v>280085</v>
      </c>
      <c r="F73" s="7">
        <v>0</v>
      </c>
      <c r="G73" s="7">
        <v>0</v>
      </c>
      <c r="H73" s="7">
        <v>265923</v>
      </c>
      <c r="I73" s="7">
        <v>14162</v>
      </c>
      <c r="J73" s="7">
        <v>0</v>
      </c>
      <c r="K73" s="8">
        <v>304</v>
      </c>
      <c r="L73" s="8">
        <v>14</v>
      </c>
      <c r="M73" s="8">
        <v>215532</v>
      </c>
      <c r="N73" s="8">
        <v>0</v>
      </c>
      <c r="O73" s="8">
        <v>0</v>
      </c>
      <c r="P73" s="8">
        <v>208369</v>
      </c>
      <c r="Q73" s="8">
        <v>7163</v>
      </c>
      <c r="R73" s="8">
        <v>0</v>
      </c>
      <c r="S73" s="9">
        <v>131</v>
      </c>
      <c r="T73" s="9">
        <v>6</v>
      </c>
      <c r="U73" s="9">
        <v>64552</v>
      </c>
      <c r="V73" s="9">
        <v>0</v>
      </c>
      <c r="W73" s="9">
        <v>0</v>
      </c>
      <c r="X73" s="9">
        <v>57554</v>
      </c>
      <c r="Y73" s="9">
        <v>6998</v>
      </c>
      <c r="Z73" s="9">
        <v>0</v>
      </c>
      <c r="AB73" s="7">
        <f t="shared" si="5"/>
        <v>9035</v>
      </c>
      <c r="AC73" s="7">
        <f t="shared" si="6"/>
        <v>0</v>
      </c>
      <c r="AD73" s="7">
        <f t="shared" si="7"/>
        <v>8578.1612903225814</v>
      </c>
    </row>
    <row r="74" spans="1:30" x14ac:dyDescent="0.3">
      <c r="A74" s="2">
        <v>42005</v>
      </c>
      <c r="B74" s="10">
        <f t="shared" si="4"/>
        <v>31</v>
      </c>
      <c r="C74" s="7">
        <v>500</v>
      </c>
      <c r="D74" s="7">
        <v>28</v>
      </c>
      <c r="E74" s="7">
        <v>336268</v>
      </c>
      <c r="F74" s="7">
        <v>0</v>
      </c>
      <c r="G74" s="7">
        <v>0</v>
      </c>
      <c r="H74" s="7">
        <v>313298</v>
      </c>
      <c r="I74" s="7">
        <v>22970</v>
      </c>
      <c r="J74" s="7">
        <v>0</v>
      </c>
      <c r="K74" s="8">
        <v>358</v>
      </c>
      <c r="L74" s="8">
        <v>17</v>
      </c>
      <c r="M74" s="8">
        <v>268008</v>
      </c>
      <c r="N74" s="8">
        <v>0</v>
      </c>
      <c r="O74" s="8">
        <v>0</v>
      </c>
      <c r="P74" s="8">
        <v>252685</v>
      </c>
      <c r="Q74" s="8">
        <v>15323</v>
      </c>
      <c r="R74" s="8">
        <v>0</v>
      </c>
      <c r="S74" s="9">
        <v>142</v>
      </c>
      <c r="T74" s="9">
        <v>11</v>
      </c>
      <c r="U74" s="9">
        <v>68260</v>
      </c>
      <c r="V74" s="9">
        <v>0</v>
      </c>
      <c r="W74" s="9">
        <v>0</v>
      </c>
      <c r="X74" s="9">
        <v>60613</v>
      </c>
      <c r="Y74" s="9">
        <v>7647</v>
      </c>
      <c r="Z74" s="9">
        <v>0</v>
      </c>
      <c r="AB74" s="7">
        <f t="shared" si="5"/>
        <v>10847.354838709678</v>
      </c>
      <c r="AC74" s="7">
        <f t="shared" si="6"/>
        <v>0</v>
      </c>
      <c r="AD74" s="7">
        <f t="shared" si="7"/>
        <v>10106.387096774193</v>
      </c>
    </row>
    <row r="75" spans="1:30" x14ac:dyDescent="0.3">
      <c r="A75" s="2">
        <v>42036</v>
      </c>
      <c r="B75" s="10">
        <f t="shared" si="4"/>
        <v>28</v>
      </c>
      <c r="C75" s="7">
        <v>437</v>
      </c>
      <c r="D75" s="7">
        <v>25</v>
      </c>
      <c r="E75" s="7">
        <v>332610</v>
      </c>
      <c r="F75" s="7">
        <v>0</v>
      </c>
      <c r="G75" s="7">
        <v>0</v>
      </c>
      <c r="H75" s="7">
        <v>310924</v>
      </c>
      <c r="I75" s="7">
        <v>21686</v>
      </c>
      <c r="J75" s="7">
        <v>0</v>
      </c>
      <c r="K75" s="8">
        <v>329</v>
      </c>
      <c r="L75" s="8">
        <v>17</v>
      </c>
      <c r="M75" s="8">
        <v>251175</v>
      </c>
      <c r="N75" s="8">
        <v>0</v>
      </c>
      <c r="O75" s="8">
        <v>0</v>
      </c>
      <c r="P75" s="8">
        <v>236491</v>
      </c>
      <c r="Q75" s="8">
        <v>14684</v>
      </c>
      <c r="R75" s="8">
        <v>0</v>
      </c>
      <c r="S75" s="9">
        <v>108</v>
      </c>
      <c r="T75" s="9">
        <v>8</v>
      </c>
      <c r="U75" s="9">
        <v>81435</v>
      </c>
      <c r="V75" s="9">
        <v>0</v>
      </c>
      <c r="W75" s="9">
        <v>0</v>
      </c>
      <c r="X75" s="9">
        <v>74433</v>
      </c>
      <c r="Y75" s="9">
        <v>7002</v>
      </c>
      <c r="Z75" s="9">
        <v>0</v>
      </c>
      <c r="AB75" s="7">
        <f t="shared" si="5"/>
        <v>11878.928571428571</v>
      </c>
      <c r="AC75" s="7">
        <f t="shared" si="6"/>
        <v>0</v>
      </c>
      <c r="AD75" s="7">
        <f t="shared" si="7"/>
        <v>11104.428571428571</v>
      </c>
    </row>
    <row r="76" spans="1:30" x14ac:dyDescent="0.3">
      <c r="A76" s="2">
        <v>42064</v>
      </c>
      <c r="B76" s="10">
        <f t="shared" si="4"/>
        <v>31</v>
      </c>
      <c r="C76" s="7">
        <v>504</v>
      </c>
      <c r="D76" s="7">
        <v>24</v>
      </c>
      <c r="E76" s="7">
        <v>303054</v>
      </c>
      <c r="F76" s="7">
        <v>0</v>
      </c>
      <c r="G76" s="7">
        <v>0</v>
      </c>
      <c r="H76" s="7">
        <v>276659</v>
      </c>
      <c r="I76" s="7">
        <v>26395</v>
      </c>
      <c r="J76" s="7">
        <v>0</v>
      </c>
      <c r="K76" s="8">
        <v>370</v>
      </c>
      <c r="L76" s="8">
        <v>16</v>
      </c>
      <c r="M76" s="8">
        <v>240573</v>
      </c>
      <c r="N76" s="8">
        <v>0</v>
      </c>
      <c r="O76" s="8">
        <v>0</v>
      </c>
      <c r="P76" s="8">
        <v>221266</v>
      </c>
      <c r="Q76" s="8">
        <v>19307</v>
      </c>
      <c r="R76" s="8">
        <v>0</v>
      </c>
      <c r="S76" s="9">
        <v>134</v>
      </c>
      <c r="T76" s="9">
        <v>8</v>
      </c>
      <c r="U76" s="9">
        <v>62481</v>
      </c>
      <c r="V76" s="9">
        <v>0</v>
      </c>
      <c r="W76" s="9">
        <v>0</v>
      </c>
      <c r="X76" s="9">
        <v>55393</v>
      </c>
      <c r="Y76" s="9">
        <v>7088</v>
      </c>
      <c r="Z76" s="9">
        <v>0</v>
      </c>
      <c r="AB76" s="7">
        <f t="shared" si="5"/>
        <v>9775.9354838709678</v>
      </c>
      <c r="AC76" s="7">
        <f t="shared" si="6"/>
        <v>0</v>
      </c>
      <c r="AD76" s="7">
        <f t="shared" si="7"/>
        <v>8924.4838709677424</v>
      </c>
    </row>
    <row r="77" spans="1:30" x14ac:dyDescent="0.3">
      <c r="A77" s="2">
        <v>42095</v>
      </c>
      <c r="B77" s="10">
        <f t="shared" si="4"/>
        <v>30</v>
      </c>
      <c r="C77" s="7">
        <v>462</v>
      </c>
      <c r="D77" s="7">
        <v>24</v>
      </c>
      <c r="E77" s="7">
        <v>275231</v>
      </c>
      <c r="F77" s="7">
        <v>0</v>
      </c>
      <c r="G77" s="7">
        <v>0</v>
      </c>
      <c r="H77" s="7">
        <v>248551</v>
      </c>
      <c r="I77" s="7">
        <v>26680</v>
      </c>
      <c r="J77" s="7">
        <v>0</v>
      </c>
      <c r="K77" s="8">
        <v>323</v>
      </c>
      <c r="L77" s="8">
        <v>17</v>
      </c>
      <c r="M77" s="8">
        <v>220405</v>
      </c>
      <c r="N77" s="8">
        <v>0</v>
      </c>
      <c r="O77" s="8">
        <v>0</v>
      </c>
      <c r="P77" s="8">
        <v>202439</v>
      </c>
      <c r="Q77" s="8">
        <v>17966</v>
      </c>
      <c r="R77" s="8">
        <v>0</v>
      </c>
      <c r="S77" s="9">
        <v>139</v>
      </c>
      <c r="T77" s="9">
        <v>7</v>
      </c>
      <c r="U77" s="9">
        <v>54825</v>
      </c>
      <c r="V77" s="9">
        <v>0</v>
      </c>
      <c r="W77" s="9">
        <v>0</v>
      </c>
      <c r="X77" s="9">
        <v>46111</v>
      </c>
      <c r="Y77" s="9">
        <v>8714</v>
      </c>
      <c r="Z77" s="9">
        <v>0</v>
      </c>
      <c r="AB77" s="7">
        <f t="shared" si="5"/>
        <v>9174.3666666666668</v>
      </c>
      <c r="AC77" s="7">
        <f t="shared" si="6"/>
        <v>0</v>
      </c>
      <c r="AD77" s="7">
        <f t="shared" si="7"/>
        <v>8285.0333333333328</v>
      </c>
    </row>
    <row r="78" spans="1:30" x14ac:dyDescent="0.3">
      <c r="A78" s="2">
        <v>42125</v>
      </c>
      <c r="B78" s="10">
        <f t="shared" si="4"/>
        <v>31</v>
      </c>
      <c r="C78" s="7">
        <v>443</v>
      </c>
      <c r="D78" s="7">
        <v>25</v>
      </c>
      <c r="E78" s="7">
        <v>309568</v>
      </c>
      <c r="F78" s="7">
        <v>0</v>
      </c>
      <c r="G78" s="7">
        <v>0</v>
      </c>
      <c r="H78" s="7">
        <v>291578</v>
      </c>
      <c r="I78" s="7">
        <v>17990</v>
      </c>
      <c r="J78" s="7">
        <v>0</v>
      </c>
      <c r="K78" s="8">
        <v>314</v>
      </c>
      <c r="L78" s="8">
        <v>19</v>
      </c>
      <c r="M78" s="8">
        <v>230137</v>
      </c>
      <c r="N78" s="8">
        <v>0</v>
      </c>
      <c r="O78" s="8">
        <v>0</v>
      </c>
      <c r="P78" s="8">
        <v>216422</v>
      </c>
      <c r="Q78" s="8">
        <v>13715</v>
      </c>
      <c r="R78" s="8">
        <v>0</v>
      </c>
      <c r="S78" s="9">
        <v>129</v>
      </c>
      <c r="T78" s="9">
        <v>6</v>
      </c>
      <c r="U78" s="9">
        <v>79431</v>
      </c>
      <c r="V78" s="9">
        <v>0</v>
      </c>
      <c r="W78" s="9">
        <v>0</v>
      </c>
      <c r="X78" s="9">
        <v>75156</v>
      </c>
      <c r="Y78" s="9">
        <v>4275</v>
      </c>
      <c r="Z78" s="9">
        <v>0</v>
      </c>
      <c r="AB78" s="7">
        <f t="shared" si="5"/>
        <v>9986.0645161290322</v>
      </c>
      <c r="AC78" s="7">
        <f t="shared" si="6"/>
        <v>0</v>
      </c>
      <c r="AD78" s="7">
        <f t="shared" si="7"/>
        <v>9405.7419354838712</v>
      </c>
    </row>
    <row r="79" spans="1:30" x14ac:dyDescent="0.3">
      <c r="A79" s="2">
        <v>42156</v>
      </c>
      <c r="B79" s="10">
        <f t="shared" si="4"/>
        <v>30</v>
      </c>
      <c r="C79" s="7">
        <v>408</v>
      </c>
      <c r="D79" s="7">
        <v>24</v>
      </c>
      <c r="E79" s="7">
        <v>257874</v>
      </c>
      <c r="F79" s="7">
        <v>0</v>
      </c>
      <c r="G79" s="7">
        <v>0</v>
      </c>
      <c r="H79" s="7">
        <v>237603</v>
      </c>
      <c r="I79" s="7">
        <v>20271</v>
      </c>
      <c r="J79" s="7">
        <v>0</v>
      </c>
      <c r="K79" s="8">
        <v>265</v>
      </c>
      <c r="L79" s="8">
        <v>15</v>
      </c>
      <c r="M79" s="8">
        <v>175453</v>
      </c>
      <c r="N79" s="8">
        <v>0</v>
      </c>
      <c r="O79" s="8">
        <v>0</v>
      </c>
      <c r="P79" s="8">
        <v>163586</v>
      </c>
      <c r="Q79" s="8">
        <v>11867</v>
      </c>
      <c r="R79" s="8">
        <v>0</v>
      </c>
      <c r="S79" s="9">
        <v>143</v>
      </c>
      <c r="T79" s="9">
        <v>9</v>
      </c>
      <c r="U79" s="9">
        <v>82421</v>
      </c>
      <c r="V79" s="9">
        <v>0</v>
      </c>
      <c r="W79" s="9">
        <v>0</v>
      </c>
      <c r="X79" s="9">
        <v>74017</v>
      </c>
      <c r="Y79" s="9">
        <v>8404</v>
      </c>
      <c r="Z79" s="9">
        <v>0</v>
      </c>
      <c r="AB79" s="7">
        <f t="shared" si="5"/>
        <v>8595.7999999999993</v>
      </c>
      <c r="AC79" s="7">
        <f t="shared" si="6"/>
        <v>0</v>
      </c>
      <c r="AD79" s="7">
        <f t="shared" si="7"/>
        <v>7920.1</v>
      </c>
    </row>
    <row r="80" spans="1:30" x14ac:dyDescent="0.3">
      <c r="A80" s="2">
        <v>42186</v>
      </c>
      <c r="B80" s="10">
        <f t="shared" si="4"/>
        <v>31</v>
      </c>
      <c r="C80" s="7">
        <v>441</v>
      </c>
      <c r="D80" s="7">
        <v>24</v>
      </c>
      <c r="E80" s="7">
        <v>281359</v>
      </c>
      <c r="F80" s="7">
        <v>0</v>
      </c>
      <c r="G80" s="7">
        <v>0</v>
      </c>
      <c r="H80" s="7">
        <v>262007</v>
      </c>
      <c r="I80" s="7">
        <v>19352</v>
      </c>
      <c r="J80" s="7">
        <v>0</v>
      </c>
      <c r="K80" s="8">
        <v>270</v>
      </c>
      <c r="L80" s="8">
        <v>15</v>
      </c>
      <c r="M80" s="8">
        <v>186393</v>
      </c>
      <c r="N80" s="8">
        <v>0</v>
      </c>
      <c r="O80" s="8">
        <v>0</v>
      </c>
      <c r="P80" s="8">
        <v>172578</v>
      </c>
      <c r="Q80" s="8">
        <v>13815</v>
      </c>
      <c r="R80" s="8">
        <v>0</v>
      </c>
      <c r="S80" s="9">
        <v>171</v>
      </c>
      <c r="T80" s="9">
        <v>9</v>
      </c>
      <c r="U80" s="9">
        <v>94966</v>
      </c>
      <c r="V80" s="9">
        <v>0</v>
      </c>
      <c r="W80" s="9">
        <v>0</v>
      </c>
      <c r="X80" s="9">
        <v>89429</v>
      </c>
      <c r="Y80" s="9">
        <v>5537</v>
      </c>
      <c r="Z80" s="9">
        <v>0</v>
      </c>
      <c r="AB80" s="7">
        <f t="shared" si="5"/>
        <v>9076.0967741935492</v>
      </c>
      <c r="AC80" s="7">
        <f t="shared" si="6"/>
        <v>0</v>
      </c>
      <c r="AD80" s="7">
        <f t="shared" si="7"/>
        <v>8451.8387096774186</v>
      </c>
    </row>
    <row r="81" spans="1:30" x14ac:dyDescent="0.3">
      <c r="A81" s="2">
        <v>42217</v>
      </c>
      <c r="B81" s="10">
        <f t="shared" si="4"/>
        <v>31</v>
      </c>
      <c r="C81" s="7">
        <v>493</v>
      </c>
      <c r="D81" s="7">
        <v>23</v>
      </c>
      <c r="E81" s="7">
        <v>321933</v>
      </c>
      <c r="F81" s="7">
        <v>0</v>
      </c>
      <c r="G81" s="7">
        <v>0</v>
      </c>
      <c r="H81" s="7">
        <v>302439</v>
      </c>
      <c r="I81" s="7">
        <v>19494</v>
      </c>
      <c r="J81" s="7">
        <v>0</v>
      </c>
      <c r="K81" s="8">
        <v>327</v>
      </c>
      <c r="L81" s="8">
        <v>16</v>
      </c>
      <c r="M81" s="8">
        <v>230790</v>
      </c>
      <c r="N81" s="8">
        <v>0</v>
      </c>
      <c r="O81" s="8">
        <v>0</v>
      </c>
      <c r="P81" s="8">
        <v>217614</v>
      </c>
      <c r="Q81" s="8">
        <v>13176</v>
      </c>
      <c r="R81" s="8">
        <v>0</v>
      </c>
      <c r="S81" s="9">
        <v>166</v>
      </c>
      <c r="T81" s="9">
        <v>7</v>
      </c>
      <c r="U81" s="9">
        <v>91143</v>
      </c>
      <c r="V81" s="9">
        <v>0</v>
      </c>
      <c r="W81" s="9">
        <v>0</v>
      </c>
      <c r="X81" s="9">
        <v>84825</v>
      </c>
      <c r="Y81" s="9">
        <v>6318</v>
      </c>
      <c r="Z81" s="9">
        <v>0</v>
      </c>
      <c r="AB81" s="7">
        <f t="shared" si="5"/>
        <v>10384.935483870968</v>
      </c>
      <c r="AC81" s="7">
        <f t="shared" si="6"/>
        <v>0</v>
      </c>
      <c r="AD81" s="7">
        <f t="shared" si="7"/>
        <v>9756.0967741935492</v>
      </c>
    </row>
    <row r="82" spans="1:30" x14ac:dyDescent="0.3">
      <c r="A82" s="2">
        <v>42248</v>
      </c>
      <c r="B82" s="10">
        <f t="shared" si="4"/>
        <v>30</v>
      </c>
      <c r="C82" s="7">
        <v>460</v>
      </c>
      <c r="D82" s="7">
        <v>22</v>
      </c>
      <c r="E82" s="7">
        <v>300066</v>
      </c>
      <c r="F82" s="7">
        <v>0</v>
      </c>
      <c r="G82" s="7">
        <v>0</v>
      </c>
      <c r="H82" s="7">
        <v>281323</v>
      </c>
      <c r="I82" s="7">
        <v>18743</v>
      </c>
      <c r="J82" s="7">
        <v>0</v>
      </c>
      <c r="K82" s="8">
        <v>313</v>
      </c>
      <c r="L82" s="8">
        <v>16</v>
      </c>
      <c r="M82" s="8">
        <v>222174</v>
      </c>
      <c r="N82" s="8">
        <v>0</v>
      </c>
      <c r="O82" s="8">
        <v>0</v>
      </c>
      <c r="P82" s="8">
        <v>208349</v>
      </c>
      <c r="Q82" s="8">
        <v>13825</v>
      </c>
      <c r="R82" s="8">
        <v>0</v>
      </c>
      <c r="S82" s="9">
        <v>147</v>
      </c>
      <c r="T82" s="9">
        <v>6</v>
      </c>
      <c r="U82" s="9">
        <v>77892</v>
      </c>
      <c r="V82" s="9">
        <v>0</v>
      </c>
      <c r="W82" s="9">
        <v>0</v>
      </c>
      <c r="X82" s="9">
        <v>72974</v>
      </c>
      <c r="Y82" s="9">
        <v>4918</v>
      </c>
      <c r="Z82" s="9">
        <v>0</v>
      </c>
      <c r="AB82" s="7">
        <f t="shared" si="5"/>
        <v>10002.200000000001</v>
      </c>
      <c r="AC82" s="7">
        <f t="shared" si="6"/>
        <v>0</v>
      </c>
      <c r="AD82" s="7">
        <f t="shared" si="7"/>
        <v>9377.4333333333325</v>
      </c>
    </row>
    <row r="83" spans="1:30" x14ac:dyDescent="0.3">
      <c r="A83" s="2">
        <v>42278</v>
      </c>
      <c r="B83" s="10">
        <f t="shared" si="4"/>
        <v>31</v>
      </c>
      <c r="C83" s="7">
        <v>488</v>
      </c>
      <c r="D83" s="7">
        <v>25</v>
      </c>
      <c r="E83" s="7">
        <v>323771</v>
      </c>
      <c r="F83" s="7">
        <v>0</v>
      </c>
      <c r="G83" s="7">
        <v>0</v>
      </c>
      <c r="H83" s="7">
        <v>301101</v>
      </c>
      <c r="I83" s="7">
        <v>22670</v>
      </c>
      <c r="J83" s="7">
        <v>0</v>
      </c>
      <c r="K83" s="8">
        <v>324</v>
      </c>
      <c r="L83" s="8">
        <v>16</v>
      </c>
      <c r="M83" s="8">
        <v>233377</v>
      </c>
      <c r="N83" s="8">
        <v>0</v>
      </c>
      <c r="O83" s="8">
        <v>0</v>
      </c>
      <c r="P83" s="8">
        <v>217085</v>
      </c>
      <c r="Q83" s="8">
        <v>16292</v>
      </c>
      <c r="R83" s="8">
        <v>0</v>
      </c>
      <c r="S83" s="9">
        <v>164</v>
      </c>
      <c r="T83" s="9">
        <v>9</v>
      </c>
      <c r="U83" s="9">
        <v>90394</v>
      </c>
      <c r="V83" s="9">
        <v>0</v>
      </c>
      <c r="W83" s="9">
        <v>0</v>
      </c>
      <c r="X83" s="9">
        <v>84016</v>
      </c>
      <c r="Y83" s="9">
        <v>6378</v>
      </c>
      <c r="Z83" s="9">
        <v>0</v>
      </c>
      <c r="AB83" s="7">
        <f t="shared" si="5"/>
        <v>10444.225806451614</v>
      </c>
      <c r="AC83" s="7">
        <f t="shared" si="6"/>
        <v>0</v>
      </c>
      <c r="AD83" s="7">
        <f t="shared" si="7"/>
        <v>9712.9354838709678</v>
      </c>
    </row>
    <row r="84" spans="1:30" x14ac:dyDescent="0.3">
      <c r="A84" s="2">
        <v>42309</v>
      </c>
      <c r="B84" s="10">
        <f t="shared" si="4"/>
        <v>30</v>
      </c>
      <c r="C84" s="7">
        <v>475</v>
      </c>
      <c r="D84" s="7">
        <v>27</v>
      </c>
      <c r="E84" s="7">
        <v>330124</v>
      </c>
      <c r="F84" s="7">
        <v>0</v>
      </c>
      <c r="G84" s="7">
        <v>0</v>
      </c>
      <c r="H84" s="7">
        <v>315127</v>
      </c>
      <c r="I84" s="7">
        <v>14997</v>
      </c>
      <c r="J84" s="7">
        <v>0</v>
      </c>
      <c r="K84" s="8">
        <v>358</v>
      </c>
      <c r="L84" s="8">
        <v>21</v>
      </c>
      <c r="M84" s="8">
        <v>269661</v>
      </c>
      <c r="N84" s="8">
        <v>0</v>
      </c>
      <c r="O84" s="8">
        <v>0</v>
      </c>
      <c r="P84" s="8">
        <v>258503</v>
      </c>
      <c r="Q84" s="8">
        <v>11158</v>
      </c>
      <c r="R84" s="8">
        <v>0</v>
      </c>
      <c r="S84" s="9">
        <v>117</v>
      </c>
      <c r="T84" s="9">
        <v>6</v>
      </c>
      <c r="U84" s="9">
        <v>60463</v>
      </c>
      <c r="V84" s="9">
        <v>0</v>
      </c>
      <c r="W84" s="9">
        <v>0</v>
      </c>
      <c r="X84" s="9">
        <v>56624</v>
      </c>
      <c r="Y84" s="9">
        <v>3839</v>
      </c>
      <c r="Z84" s="9">
        <v>0</v>
      </c>
      <c r="AB84" s="7">
        <f t="shared" si="5"/>
        <v>11004.133333333333</v>
      </c>
      <c r="AC84" s="7">
        <f t="shared" si="6"/>
        <v>0</v>
      </c>
      <c r="AD84" s="7">
        <f t="shared" si="7"/>
        <v>10504.233333333334</v>
      </c>
    </row>
    <row r="85" spans="1:30" x14ac:dyDescent="0.3">
      <c r="A85" s="2">
        <v>42339</v>
      </c>
      <c r="B85" s="10">
        <f t="shared" si="4"/>
        <v>31</v>
      </c>
      <c r="C85" s="7">
        <v>516</v>
      </c>
      <c r="D85" s="7">
        <v>29</v>
      </c>
      <c r="E85" s="7">
        <v>346580</v>
      </c>
      <c r="F85" s="7">
        <v>0</v>
      </c>
      <c r="G85" s="7">
        <v>0</v>
      </c>
      <c r="H85" s="7">
        <v>325306</v>
      </c>
      <c r="I85" s="7">
        <v>21274</v>
      </c>
      <c r="J85" s="7">
        <v>0</v>
      </c>
      <c r="K85" s="8">
        <v>402</v>
      </c>
      <c r="L85" s="8">
        <v>21</v>
      </c>
      <c r="M85" s="8">
        <v>286998</v>
      </c>
      <c r="N85" s="8">
        <v>0</v>
      </c>
      <c r="O85" s="8">
        <v>0</v>
      </c>
      <c r="P85" s="8">
        <v>270605</v>
      </c>
      <c r="Q85" s="8">
        <v>16393</v>
      </c>
      <c r="R85" s="8">
        <v>0</v>
      </c>
      <c r="S85" s="9">
        <v>114</v>
      </c>
      <c r="T85" s="9">
        <v>8</v>
      </c>
      <c r="U85" s="9">
        <v>59582</v>
      </c>
      <c r="V85" s="9">
        <v>0</v>
      </c>
      <c r="W85" s="9">
        <v>0</v>
      </c>
      <c r="X85" s="9">
        <v>54701</v>
      </c>
      <c r="Y85" s="9">
        <v>4881</v>
      </c>
      <c r="Z85" s="9">
        <v>0</v>
      </c>
      <c r="AB85" s="7">
        <f t="shared" si="5"/>
        <v>11180</v>
      </c>
      <c r="AC85" s="7">
        <f t="shared" si="6"/>
        <v>0</v>
      </c>
      <c r="AD85" s="7">
        <f t="shared" si="7"/>
        <v>10493.741935483871</v>
      </c>
    </row>
    <row r="86" spans="1:30" x14ac:dyDescent="0.3">
      <c r="A86" s="2">
        <v>42370</v>
      </c>
      <c r="B86" s="10">
        <f t="shared" si="4"/>
        <v>31</v>
      </c>
      <c r="C86" s="7">
        <v>538</v>
      </c>
      <c r="D86" s="7">
        <v>29</v>
      </c>
      <c r="E86" s="7">
        <v>393605</v>
      </c>
      <c r="F86" s="7">
        <v>0</v>
      </c>
      <c r="G86" s="7">
        <v>0</v>
      </c>
      <c r="H86" s="7">
        <v>373230</v>
      </c>
      <c r="I86" s="7">
        <v>20375</v>
      </c>
      <c r="J86" s="7">
        <v>0</v>
      </c>
      <c r="K86" s="8">
        <v>412</v>
      </c>
      <c r="L86" s="8">
        <v>22</v>
      </c>
      <c r="M86" s="8">
        <v>325891</v>
      </c>
      <c r="N86" s="8">
        <v>0</v>
      </c>
      <c r="O86" s="8">
        <v>0</v>
      </c>
      <c r="P86" s="8">
        <v>309879</v>
      </c>
      <c r="Q86" s="8">
        <v>16012</v>
      </c>
      <c r="R86" s="8">
        <v>0</v>
      </c>
      <c r="S86" s="9">
        <v>126</v>
      </c>
      <c r="T86" s="9">
        <v>7</v>
      </c>
      <c r="U86" s="9">
        <v>67714</v>
      </c>
      <c r="V86" s="9">
        <v>0</v>
      </c>
      <c r="W86" s="9">
        <v>0</v>
      </c>
      <c r="X86" s="9">
        <v>63351</v>
      </c>
      <c r="Y86" s="9">
        <v>4363</v>
      </c>
      <c r="Z86" s="9">
        <v>0</v>
      </c>
      <c r="AB86" s="7">
        <f t="shared" si="5"/>
        <v>12696.935483870968</v>
      </c>
      <c r="AC86" s="7">
        <f t="shared" si="6"/>
        <v>0</v>
      </c>
      <c r="AD86" s="7">
        <f t="shared" si="7"/>
        <v>12039.677419354839</v>
      </c>
    </row>
    <row r="87" spans="1:30" x14ac:dyDescent="0.3">
      <c r="A87" s="2">
        <v>42401</v>
      </c>
      <c r="B87" s="10">
        <f t="shared" si="4"/>
        <v>29</v>
      </c>
      <c r="C87" s="7">
        <v>459</v>
      </c>
      <c r="D87" s="7">
        <v>28</v>
      </c>
      <c r="E87" s="7">
        <v>359808</v>
      </c>
      <c r="F87" s="7">
        <v>0</v>
      </c>
      <c r="G87" s="7">
        <v>0</v>
      </c>
      <c r="H87" s="7">
        <v>335760</v>
      </c>
      <c r="I87" s="7">
        <v>24048</v>
      </c>
      <c r="J87" s="7">
        <v>0</v>
      </c>
      <c r="K87" s="8">
        <v>390</v>
      </c>
      <c r="L87" s="8">
        <v>23</v>
      </c>
      <c r="M87" s="8">
        <v>322522</v>
      </c>
      <c r="N87" s="8">
        <v>0</v>
      </c>
      <c r="O87" s="8">
        <v>0</v>
      </c>
      <c r="P87" s="8">
        <v>302387</v>
      </c>
      <c r="Q87" s="8">
        <v>20135</v>
      </c>
      <c r="R87" s="8">
        <v>0</v>
      </c>
      <c r="S87" s="9">
        <v>69</v>
      </c>
      <c r="T87" s="9">
        <v>5</v>
      </c>
      <c r="U87" s="9">
        <v>37286</v>
      </c>
      <c r="V87" s="9">
        <v>0</v>
      </c>
      <c r="W87" s="9">
        <v>0</v>
      </c>
      <c r="X87" s="9">
        <v>33373</v>
      </c>
      <c r="Y87" s="9">
        <v>3913</v>
      </c>
      <c r="Z87" s="9">
        <v>0</v>
      </c>
      <c r="AB87" s="7">
        <f t="shared" si="5"/>
        <v>12407.172413793103</v>
      </c>
      <c r="AC87" s="7">
        <f t="shared" si="6"/>
        <v>0</v>
      </c>
      <c r="AD87" s="7">
        <f t="shared" si="7"/>
        <v>11577.931034482759</v>
      </c>
    </row>
    <row r="88" spans="1:30" x14ac:dyDescent="0.3">
      <c r="A88" s="2">
        <v>42430</v>
      </c>
      <c r="B88" s="10">
        <f t="shared" si="4"/>
        <v>31</v>
      </c>
      <c r="C88" s="7">
        <v>457</v>
      </c>
      <c r="D88" s="7">
        <v>27</v>
      </c>
      <c r="E88" s="7">
        <v>330476</v>
      </c>
      <c r="F88" s="7">
        <v>0</v>
      </c>
      <c r="G88" s="7">
        <v>0</v>
      </c>
      <c r="H88" s="7">
        <v>311132</v>
      </c>
      <c r="I88" s="7">
        <v>19344</v>
      </c>
      <c r="J88" s="7">
        <v>0</v>
      </c>
      <c r="K88" s="8">
        <v>315</v>
      </c>
      <c r="L88" s="8">
        <v>19</v>
      </c>
      <c r="M88" s="8">
        <v>246879</v>
      </c>
      <c r="N88" s="8">
        <v>0</v>
      </c>
      <c r="O88" s="8">
        <v>0</v>
      </c>
      <c r="P88" s="8">
        <v>234075</v>
      </c>
      <c r="Q88" s="8">
        <v>12804</v>
      </c>
      <c r="R88" s="8">
        <v>0</v>
      </c>
      <c r="S88" s="9">
        <v>142</v>
      </c>
      <c r="T88" s="9">
        <v>8</v>
      </c>
      <c r="U88" s="9">
        <v>83597</v>
      </c>
      <c r="V88" s="9">
        <v>0</v>
      </c>
      <c r="W88" s="9">
        <v>0</v>
      </c>
      <c r="X88" s="9">
        <v>77057</v>
      </c>
      <c r="Y88" s="9">
        <v>6540</v>
      </c>
      <c r="Z88" s="9">
        <v>0</v>
      </c>
      <c r="AB88" s="7">
        <f t="shared" si="5"/>
        <v>10660.516129032258</v>
      </c>
      <c r="AC88" s="7">
        <f t="shared" si="6"/>
        <v>0</v>
      </c>
      <c r="AD88" s="7">
        <f t="shared" si="7"/>
        <v>10036.516129032258</v>
      </c>
    </row>
    <row r="89" spans="1:30" x14ac:dyDescent="0.3">
      <c r="A89" s="2">
        <v>42461</v>
      </c>
      <c r="B89" s="10">
        <f t="shared" si="4"/>
        <v>30</v>
      </c>
      <c r="C89" s="7">
        <v>420</v>
      </c>
      <c r="D89" s="7">
        <v>28</v>
      </c>
      <c r="E89" s="7">
        <v>297095</v>
      </c>
      <c r="F89" s="7">
        <v>0</v>
      </c>
      <c r="G89" s="7">
        <v>0</v>
      </c>
      <c r="H89" s="7">
        <v>278484</v>
      </c>
      <c r="I89" s="7">
        <v>18611</v>
      </c>
      <c r="J89" s="7">
        <v>0</v>
      </c>
      <c r="K89" s="8">
        <v>290</v>
      </c>
      <c r="L89" s="8">
        <v>17</v>
      </c>
      <c r="M89" s="8">
        <v>224792</v>
      </c>
      <c r="N89" s="8">
        <v>0</v>
      </c>
      <c r="O89" s="8">
        <v>0</v>
      </c>
      <c r="P89" s="8">
        <v>212026</v>
      </c>
      <c r="Q89" s="8">
        <v>12766</v>
      </c>
      <c r="R89" s="8">
        <v>0</v>
      </c>
      <c r="S89" s="9">
        <v>130</v>
      </c>
      <c r="T89" s="9">
        <v>11</v>
      </c>
      <c r="U89" s="9">
        <v>72303</v>
      </c>
      <c r="V89" s="9">
        <v>0</v>
      </c>
      <c r="W89" s="9">
        <v>0</v>
      </c>
      <c r="X89" s="9">
        <v>66458</v>
      </c>
      <c r="Y89" s="9">
        <v>5845</v>
      </c>
      <c r="Z89" s="9">
        <v>0</v>
      </c>
      <c r="AB89" s="7">
        <f t="shared" si="5"/>
        <v>9903.1666666666661</v>
      </c>
      <c r="AC89" s="7">
        <f t="shared" si="6"/>
        <v>0</v>
      </c>
      <c r="AD89" s="7">
        <f t="shared" si="7"/>
        <v>9282.7999999999993</v>
      </c>
    </row>
    <row r="90" spans="1:30" x14ac:dyDescent="0.3">
      <c r="A90" s="2">
        <v>42491</v>
      </c>
      <c r="B90" s="10">
        <f t="shared" si="4"/>
        <v>31</v>
      </c>
      <c r="C90" s="7">
        <v>410</v>
      </c>
      <c r="D90" s="7">
        <v>28</v>
      </c>
      <c r="E90" s="7">
        <v>301699</v>
      </c>
      <c r="F90" s="7">
        <v>0</v>
      </c>
      <c r="G90" s="7">
        <v>0</v>
      </c>
      <c r="H90" s="7">
        <v>281566</v>
      </c>
      <c r="I90" s="7">
        <v>20133</v>
      </c>
      <c r="J90" s="7">
        <v>0</v>
      </c>
      <c r="K90" s="8">
        <v>275</v>
      </c>
      <c r="L90" s="8">
        <v>17</v>
      </c>
      <c r="M90" s="8">
        <v>225733</v>
      </c>
      <c r="N90" s="8">
        <v>0</v>
      </c>
      <c r="O90" s="8">
        <v>0</v>
      </c>
      <c r="P90" s="8">
        <v>212464</v>
      </c>
      <c r="Q90" s="8">
        <v>13269</v>
      </c>
      <c r="R90" s="8">
        <v>0</v>
      </c>
      <c r="S90" s="9">
        <v>135</v>
      </c>
      <c r="T90" s="9">
        <v>11</v>
      </c>
      <c r="U90" s="9">
        <v>75966</v>
      </c>
      <c r="V90" s="9">
        <v>0</v>
      </c>
      <c r="W90" s="9">
        <v>0</v>
      </c>
      <c r="X90" s="9">
        <v>69102</v>
      </c>
      <c r="Y90" s="9">
        <v>6864</v>
      </c>
      <c r="Z90" s="9">
        <v>0</v>
      </c>
      <c r="AB90" s="7">
        <f t="shared" si="5"/>
        <v>9732.2258064516136</v>
      </c>
      <c r="AC90" s="7">
        <f t="shared" si="6"/>
        <v>0</v>
      </c>
      <c r="AD90" s="7">
        <f t="shared" si="7"/>
        <v>9082.7741935483864</v>
      </c>
    </row>
    <row r="91" spans="1:30" x14ac:dyDescent="0.3">
      <c r="A91" s="2">
        <v>42522</v>
      </c>
      <c r="B91" s="10">
        <f t="shared" si="4"/>
        <v>30</v>
      </c>
      <c r="C91" s="7">
        <v>357</v>
      </c>
      <c r="D91" s="7">
        <v>25</v>
      </c>
      <c r="E91" s="7">
        <v>272084</v>
      </c>
      <c r="F91" s="7">
        <v>0</v>
      </c>
      <c r="G91" s="7">
        <v>0</v>
      </c>
      <c r="H91" s="7">
        <v>252093</v>
      </c>
      <c r="I91" s="7">
        <v>19991</v>
      </c>
      <c r="J91" s="7">
        <v>0</v>
      </c>
      <c r="K91" s="8">
        <v>247</v>
      </c>
      <c r="L91" s="8">
        <v>17</v>
      </c>
      <c r="M91" s="8">
        <v>208778</v>
      </c>
      <c r="N91" s="8">
        <v>0</v>
      </c>
      <c r="O91" s="8">
        <v>0</v>
      </c>
      <c r="P91" s="8">
        <v>194983</v>
      </c>
      <c r="Q91" s="8">
        <v>13795</v>
      </c>
      <c r="R91" s="8">
        <v>0</v>
      </c>
      <c r="S91" s="9">
        <v>110</v>
      </c>
      <c r="T91" s="9">
        <v>8</v>
      </c>
      <c r="U91" s="9">
        <v>63306</v>
      </c>
      <c r="V91" s="9">
        <v>0</v>
      </c>
      <c r="W91" s="9">
        <v>0</v>
      </c>
      <c r="X91" s="9">
        <v>57110</v>
      </c>
      <c r="Y91" s="9">
        <v>6196</v>
      </c>
      <c r="Z91" s="9">
        <v>0</v>
      </c>
      <c r="AB91" s="7">
        <f t="shared" si="5"/>
        <v>9069.4666666666672</v>
      </c>
      <c r="AC91" s="7">
        <f t="shared" si="6"/>
        <v>0</v>
      </c>
      <c r="AD91" s="7">
        <f t="shared" si="7"/>
        <v>8403.1</v>
      </c>
    </row>
    <row r="92" spans="1:30" x14ac:dyDescent="0.3">
      <c r="A92" s="2">
        <v>42552</v>
      </c>
      <c r="B92" s="10">
        <f t="shared" si="4"/>
        <v>31</v>
      </c>
      <c r="C92" s="7">
        <v>425</v>
      </c>
      <c r="D92" s="7">
        <v>26</v>
      </c>
      <c r="E92" s="7">
        <v>316164</v>
      </c>
      <c r="F92" s="7">
        <v>0</v>
      </c>
      <c r="G92" s="7">
        <v>0</v>
      </c>
      <c r="H92" s="7">
        <v>290601</v>
      </c>
      <c r="I92" s="7">
        <v>25563</v>
      </c>
      <c r="J92" s="7">
        <v>0</v>
      </c>
      <c r="K92" s="8">
        <v>290</v>
      </c>
      <c r="L92" s="8">
        <v>18</v>
      </c>
      <c r="M92" s="8">
        <v>243700</v>
      </c>
      <c r="N92" s="8">
        <v>0</v>
      </c>
      <c r="O92" s="8">
        <v>0</v>
      </c>
      <c r="P92" s="8">
        <v>226301</v>
      </c>
      <c r="Q92" s="8">
        <v>17399</v>
      </c>
      <c r="R92" s="8">
        <v>0</v>
      </c>
      <c r="S92" s="9">
        <v>135</v>
      </c>
      <c r="T92" s="9">
        <v>8</v>
      </c>
      <c r="U92" s="9">
        <v>72464</v>
      </c>
      <c r="V92" s="9">
        <v>0</v>
      </c>
      <c r="W92" s="9">
        <v>0</v>
      </c>
      <c r="X92" s="9">
        <v>64299</v>
      </c>
      <c r="Y92" s="9">
        <v>8165</v>
      </c>
      <c r="Z92" s="9">
        <v>0</v>
      </c>
      <c r="AB92" s="7">
        <f t="shared" si="5"/>
        <v>10198.838709677419</v>
      </c>
      <c r="AC92" s="7">
        <f t="shared" si="6"/>
        <v>0</v>
      </c>
      <c r="AD92" s="7">
        <f t="shared" si="7"/>
        <v>9374.2258064516136</v>
      </c>
    </row>
    <row r="93" spans="1:30" x14ac:dyDescent="0.3">
      <c r="A93" s="2">
        <v>42583</v>
      </c>
      <c r="B93" s="10">
        <f t="shared" si="4"/>
        <v>31</v>
      </c>
      <c r="C93" s="7">
        <v>441</v>
      </c>
      <c r="D93" s="7">
        <v>30</v>
      </c>
      <c r="E93" s="7">
        <v>320162</v>
      </c>
      <c r="F93" s="7">
        <v>0</v>
      </c>
      <c r="G93" s="7">
        <v>0</v>
      </c>
      <c r="H93" s="7">
        <v>298206</v>
      </c>
      <c r="I93" s="7">
        <v>21956</v>
      </c>
      <c r="J93" s="7">
        <v>0</v>
      </c>
      <c r="K93" s="8">
        <v>303</v>
      </c>
      <c r="L93" s="8">
        <v>21</v>
      </c>
      <c r="M93" s="8">
        <v>238579</v>
      </c>
      <c r="N93" s="8">
        <v>0</v>
      </c>
      <c r="O93" s="8">
        <v>0</v>
      </c>
      <c r="P93" s="8">
        <v>222645</v>
      </c>
      <c r="Q93" s="8">
        <v>15934</v>
      </c>
      <c r="R93" s="8">
        <v>0</v>
      </c>
      <c r="S93" s="9">
        <v>138</v>
      </c>
      <c r="T93" s="9">
        <v>9</v>
      </c>
      <c r="U93" s="9">
        <v>81583</v>
      </c>
      <c r="V93" s="9">
        <v>0</v>
      </c>
      <c r="W93" s="9">
        <v>0</v>
      </c>
      <c r="X93" s="9">
        <v>75563</v>
      </c>
      <c r="Y93" s="9">
        <v>6020</v>
      </c>
      <c r="Z93" s="9">
        <v>0</v>
      </c>
      <c r="AB93" s="7">
        <f t="shared" si="5"/>
        <v>10327.806451612903</v>
      </c>
      <c r="AC93" s="7">
        <f t="shared" si="6"/>
        <v>0</v>
      </c>
      <c r="AD93" s="7">
        <f t="shared" si="7"/>
        <v>9619.5483870967746</v>
      </c>
    </row>
    <row r="94" spans="1:30" x14ac:dyDescent="0.3">
      <c r="A94" s="2">
        <v>42614</v>
      </c>
      <c r="B94" s="10">
        <f t="shared" si="4"/>
        <v>30</v>
      </c>
      <c r="C94" s="7">
        <v>456</v>
      </c>
      <c r="D94" s="7">
        <v>30</v>
      </c>
      <c r="E94" s="7">
        <v>339081</v>
      </c>
      <c r="F94" s="7">
        <v>0</v>
      </c>
      <c r="G94" s="7">
        <v>0</v>
      </c>
      <c r="H94" s="7">
        <v>313236</v>
      </c>
      <c r="I94" s="7">
        <v>25845</v>
      </c>
      <c r="J94" s="7">
        <v>0</v>
      </c>
      <c r="K94" s="8">
        <v>311</v>
      </c>
      <c r="L94" s="8">
        <v>20</v>
      </c>
      <c r="M94" s="8">
        <v>257955</v>
      </c>
      <c r="N94" s="8">
        <v>0</v>
      </c>
      <c r="O94" s="8">
        <v>0</v>
      </c>
      <c r="P94" s="8">
        <v>239953</v>
      </c>
      <c r="Q94" s="8">
        <v>18002</v>
      </c>
      <c r="R94" s="8">
        <v>0</v>
      </c>
      <c r="S94" s="9">
        <v>145</v>
      </c>
      <c r="T94" s="9">
        <v>10</v>
      </c>
      <c r="U94" s="9">
        <v>81126</v>
      </c>
      <c r="V94" s="9">
        <v>0</v>
      </c>
      <c r="W94" s="9">
        <v>0</v>
      </c>
      <c r="X94" s="9">
        <v>73283</v>
      </c>
      <c r="Y94" s="9">
        <v>7843</v>
      </c>
      <c r="Z94" s="9">
        <v>0</v>
      </c>
      <c r="AB94" s="7">
        <f t="shared" si="5"/>
        <v>11302.7</v>
      </c>
      <c r="AC94" s="7">
        <f t="shared" si="6"/>
        <v>0</v>
      </c>
      <c r="AD94" s="7">
        <f t="shared" si="7"/>
        <v>10441.200000000001</v>
      </c>
    </row>
    <row r="95" spans="1:30" x14ac:dyDescent="0.3">
      <c r="A95" s="2">
        <v>42644</v>
      </c>
      <c r="B95" s="10">
        <f t="shared" si="4"/>
        <v>31</v>
      </c>
      <c r="C95" s="7">
        <v>441</v>
      </c>
      <c r="D95" s="7">
        <v>29</v>
      </c>
      <c r="E95" s="7">
        <v>341232</v>
      </c>
      <c r="F95" s="7">
        <v>0</v>
      </c>
      <c r="G95" s="7">
        <v>0</v>
      </c>
      <c r="H95" s="7">
        <v>316155</v>
      </c>
      <c r="I95" s="7">
        <v>25077</v>
      </c>
      <c r="J95" s="7">
        <v>0</v>
      </c>
      <c r="K95" s="8">
        <v>282</v>
      </c>
      <c r="L95" s="8">
        <v>21</v>
      </c>
      <c r="M95" s="8">
        <v>246982</v>
      </c>
      <c r="N95" s="8">
        <v>0</v>
      </c>
      <c r="O95" s="8">
        <v>0</v>
      </c>
      <c r="P95" s="8">
        <v>232787</v>
      </c>
      <c r="Q95" s="8">
        <v>14195</v>
      </c>
      <c r="R95" s="8">
        <v>0</v>
      </c>
      <c r="S95" s="9">
        <v>159</v>
      </c>
      <c r="T95" s="9">
        <v>8</v>
      </c>
      <c r="U95" s="9">
        <v>94250</v>
      </c>
      <c r="V95" s="9">
        <v>0</v>
      </c>
      <c r="W95" s="9">
        <v>0</v>
      </c>
      <c r="X95" s="9">
        <v>83367</v>
      </c>
      <c r="Y95" s="9">
        <v>10883</v>
      </c>
      <c r="Z95" s="9">
        <v>0</v>
      </c>
      <c r="AB95" s="7">
        <f t="shared" si="5"/>
        <v>11007.483870967742</v>
      </c>
      <c r="AC95" s="7">
        <f t="shared" si="6"/>
        <v>0</v>
      </c>
      <c r="AD95" s="7">
        <f t="shared" si="7"/>
        <v>10198.548387096775</v>
      </c>
    </row>
    <row r="96" spans="1:30" x14ac:dyDescent="0.3">
      <c r="A96" s="2">
        <v>42675</v>
      </c>
      <c r="B96" s="10">
        <f t="shared" si="4"/>
        <v>30</v>
      </c>
      <c r="C96" s="7">
        <v>450</v>
      </c>
      <c r="D96" s="7">
        <v>29</v>
      </c>
      <c r="E96" s="7">
        <v>351812</v>
      </c>
      <c r="F96" s="7">
        <v>0</v>
      </c>
      <c r="G96" s="7">
        <v>0</v>
      </c>
      <c r="H96" s="7">
        <v>328458</v>
      </c>
      <c r="I96" s="7">
        <v>23354</v>
      </c>
      <c r="J96" s="7">
        <v>0</v>
      </c>
      <c r="K96" s="8">
        <v>307</v>
      </c>
      <c r="L96" s="8">
        <v>21</v>
      </c>
      <c r="M96" s="8">
        <v>276032</v>
      </c>
      <c r="N96" s="8">
        <v>0</v>
      </c>
      <c r="O96" s="8">
        <v>0</v>
      </c>
      <c r="P96" s="8">
        <v>260997</v>
      </c>
      <c r="Q96" s="8">
        <v>15035</v>
      </c>
      <c r="R96" s="8">
        <v>0</v>
      </c>
      <c r="S96" s="9">
        <v>143</v>
      </c>
      <c r="T96" s="9">
        <v>8</v>
      </c>
      <c r="U96" s="9">
        <v>75780</v>
      </c>
      <c r="V96" s="9">
        <v>0</v>
      </c>
      <c r="W96" s="9">
        <v>0</v>
      </c>
      <c r="X96" s="9">
        <v>67461</v>
      </c>
      <c r="Y96" s="9">
        <v>8319</v>
      </c>
      <c r="Z96" s="9">
        <v>0</v>
      </c>
      <c r="AB96" s="7">
        <f t="shared" si="5"/>
        <v>11727.066666666668</v>
      </c>
      <c r="AC96" s="7">
        <f t="shared" si="6"/>
        <v>0</v>
      </c>
      <c r="AD96" s="7">
        <f t="shared" si="7"/>
        <v>10948.6</v>
      </c>
    </row>
    <row r="97" spans="1:30" x14ac:dyDescent="0.3">
      <c r="A97" s="2">
        <v>42705</v>
      </c>
      <c r="B97" s="10">
        <f t="shared" si="4"/>
        <v>31</v>
      </c>
      <c r="C97" s="7">
        <v>482</v>
      </c>
      <c r="D97" s="7">
        <v>26</v>
      </c>
      <c r="E97" s="7">
        <v>386044</v>
      </c>
      <c r="F97" s="7">
        <v>0</v>
      </c>
      <c r="G97" s="7">
        <v>0</v>
      </c>
      <c r="H97" s="7">
        <v>357819</v>
      </c>
      <c r="I97" s="7">
        <v>28225</v>
      </c>
      <c r="J97" s="7">
        <v>0</v>
      </c>
      <c r="K97" s="8">
        <v>336</v>
      </c>
      <c r="L97" s="8">
        <v>18</v>
      </c>
      <c r="M97" s="8">
        <v>307446</v>
      </c>
      <c r="N97" s="8">
        <v>0</v>
      </c>
      <c r="O97" s="8">
        <v>0</v>
      </c>
      <c r="P97" s="8">
        <v>288614</v>
      </c>
      <c r="Q97" s="8">
        <v>18832</v>
      </c>
      <c r="R97" s="8">
        <v>0</v>
      </c>
      <c r="S97" s="9">
        <v>146</v>
      </c>
      <c r="T97" s="9">
        <v>8</v>
      </c>
      <c r="U97" s="9">
        <v>78598</v>
      </c>
      <c r="V97" s="9">
        <v>0</v>
      </c>
      <c r="W97" s="9">
        <v>0</v>
      </c>
      <c r="X97" s="9">
        <v>69205</v>
      </c>
      <c r="Y97" s="9">
        <v>9393</v>
      </c>
      <c r="Z97" s="9">
        <v>0</v>
      </c>
      <c r="AB97" s="7">
        <f t="shared" si="5"/>
        <v>12453.032258064517</v>
      </c>
      <c r="AC97" s="7">
        <f t="shared" si="6"/>
        <v>0</v>
      </c>
      <c r="AD97" s="7">
        <f t="shared" si="7"/>
        <v>11542.548387096775</v>
      </c>
    </row>
    <row r="98" spans="1:30" x14ac:dyDescent="0.3">
      <c r="A98" s="2">
        <v>42736</v>
      </c>
      <c r="B98" s="10">
        <f t="shared" si="4"/>
        <v>31</v>
      </c>
      <c r="C98" s="7">
        <v>529</v>
      </c>
      <c r="D98" s="7">
        <v>27</v>
      </c>
      <c r="E98" s="7">
        <v>430475</v>
      </c>
      <c r="F98" s="7">
        <v>0</v>
      </c>
      <c r="G98" s="7">
        <v>0</v>
      </c>
      <c r="H98" s="7">
        <v>400169</v>
      </c>
      <c r="I98" s="7">
        <v>30306</v>
      </c>
      <c r="J98" s="7">
        <v>0</v>
      </c>
      <c r="K98" s="8">
        <v>337</v>
      </c>
      <c r="L98" s="8">
        <v>18</v>
      </c>
      <c r="M98" s="8">
        <v>316144</v>
      </c>
      <c r="N98" s="8">
        <v>0</v>
      </c>
      <c r="O98" s="8">
        <v>0</v>
      </c>
      <c r="P98" s="8">
        <v>297686</v>
      </c>
      <c r="Q98" s="8">
        <v>18458</v>
      </c>
      <c r="R98" s="8">
        <v>0</v>
      </c>
      <c r="S98" s="9">
        <v>192</v>
      </c>
      <c r="T98" s="9">
        <v>9</v>
      </c>
      <c r="U98" s="9">
        <v>114331</v>
      </c>
      <c r="V98" s="9">
        <v>0</v>
      </c>
      <c r="W98" s="9">
        <v>0</v>
      </c>
      <c r="X98" s="9">
        <v>102483</v>
      </c>
      <c r="Y98" s="9">
        <v>11848</v>
      </c>
      <c r="Z98" s="9">
        <v>0</v>
      </c>
      <c r="AB98" s="7">
        <f t="shared" si="5"/>
        <v>13886.290322580646</v>
      </c>
      <c r="AC98" s="7">
        <f t="shared" si="6"/>
        <v>0</v>
      </c>
      <c r="AD98" s="7">
        <f t="shared" si="7"/>
        <v>12908.677419354839</v>
      </c>
    </row>
    <row r="99" spans="1:30" x14ac:dyDescent="0.3">
      <c r="A99" s="2">
        <v>42767</v>
      </c>
      <c r="B99" s="10">
        <f t="shared" si="4"/>
        <v>28</v>
      </c>
      <c r="C99" s="7">
        <v>523</v>
      </c>
      <c r="D99" s="7">
        <v>26</v>
      </c>
      <c r="E99" s="7">
        <v>401232</v>
      </c>
      <c r="F99" s="7">
        <v>0</v>
      </c>
      <c r="G99" s="7">
        <v>0</v>
      </c>
      <c r="H99" s="7">
        <v>371425</v>
      </c>
      <c r="I99" s="7">
        <v>29807</v>
      </c>
      <c r="J99" s="7">
        <v>0</v>
      </c>
      <c r="K99" s="8">
        <v>343</v>
      </c>
      <c r="L99" s="8">
        <v>17</v>
      </c>
      <c r="M99" s="8">
        <v>303221</v>
      </c>
      <c r="N99" s="8">
        <v>0</v>
      </c>
      <c r="O99" s="8">
        <v>0</v>
      </c>
      <c r="P99" s="8">
        <v>284270</v>
      </c>
      <c r="Q99" s="8">
        <v>18951</v>
      </c>
      <c r="R99" s="8">
        <v>0</v>
      </c>
      <c r="S99" s="9">
        <v>180</v>
      </c>
      <c r="T99" s="9">
        <v>9</v>
      </c>
      <c r="U99" s="9">
        <v>98011</v>
      </c>
      <c r="V99" s="9">
        <v>0</v>
      </c>
      <c r="W99" s="9">
        <v>0</v>
      </c>
      <c r="X99" s="9">
        <v>87155</v>
      </c>
      <c r="Y99" s="9">
        <v>10856</v>
      </c>
      <c r="Z99" s="9">
        <v>0</v>
      </c>
      <c r="AB99" s="7">
        <f t="shared" si="5"/>
        <v>14329.714285714286</v>
      </c>
      <c r="AC99" s="7">
        <f t="shared" si="6"/>
        <v>0</v>
      </c>
      <c r="AD99" s="7">
        <f t="shared" si="7"/>
        <v>13265.178571428571</v>
      </c>
    </row>
    <row r="100" spans="1:30" x14ac:dyDescent="0.3">
      <c r="A100" s="2">
        <v>42795</v>
      </c>
      <c r="B100" s="10">
        <f t="shared" si="4"/>
        <v>31</v>
      </c>
      <c r="C100" s="7">
        <v>537</v>
      </c>
      <c r="D100" s="7">
        <v>29</v>
      </c>
      <c r="E100" s="7">
        <v>414871</v>
      </c>
      <c r="F100" s="7">
        <v>0</v>
      </c>
      <c r="G100" s="7">
        <v>0</v>
      </c>
      <c r="H100" s="7">
        <v>380215</v>
      </c>
      <c r="I100" s="7">
        <v>34656</v>
      </c>
      <c r="J100" s="7">
        <v>0</v>
      </c>
      <c r="K100" s="8">
        <v>382</v>
      </c>
      <c r="L100" s="8">
        <v>21</v>
      </c>
      <c r="M100" s="8">
        <v>324042</v>
      </c>
      <c r="N100" s="8">
        <v>0</v>
      </c>
      <c r="O100" s="8">
        <v>0</v>
      </c>
      <c r="P100" s="8">
        <v>301333</v>
      </c>
      <c r="Q100" s="8">
        <v>22709</v>
      </c>
      <c r="R100" s="8">
        <v>0</v>
      </c>
      <c r="S100" s="9">
        <v>155</v>
      </c>
      <c r="T100" s="9">
        <v>8</v>
      </c>
      <c r="U100" s="9">
        <v>90829</v>
      </c>
      <c r="V100" s="9">
        <v>0</v>
      </c>
      <c r="W100" s="9">
        <v>0</v>
      </c>
      <c r="X100" s="9">
        <v>78882</v>
      </c>
      <c r="Y100" s="9">
        <v>11947</v>
      </c>
      <c r="Z100" s="9">
        <v>0</v>
      </c>
      <c r="AB100" s="7">
        <f t="shared" si="5"/>
        <v>13382.935483870968</v>
      </c>
      <c r="AC100" s="7">
        <f t="shared" si="6"/>
        <v>0</v>
      </c>
      <c r="AD100" s="7">
        <f t="shared" si="7"/>
        <v>12265</v>
      </c>
    </row>
    <row r="101" spans="1:30" x14ac:dyDescent="0.3">
      <c r="A101" s="2">
        <v>42826</v>
      </c>
      <c r="B101" s="10">
        <f t="shared" si="4"/>
        <v>30</v>
      </c>
      <c r="C101" s="7">
        <v>502</v>
      </c>
      <c r="D101" s="7">
        <v>32</v>
      </c>
      <c r="E101" s="7">
        <v>425259</v>
      </c>
      <c r="F101" s="7">
        <v>0</v>
      </c>
      <c r="G101" s="7">
        <v>0</v>
      </c>
      <c r="H101" s="7">
        <v>392943</v>
      </c>
      <c r="I101" s="7">
        <v>32316</v>
      </c>
      <c r="J101" s="7">
        <v>0</v>
      </c>
      <c r="K101" s="8">
        <v>367</v>
      </c>
      <c r="L101" s="8">
        <v>21</v>
      </c>
      <c r="M101" s="8">
        <v>350105</v>
      </c>
      <c r="N101" s="8">
        <v>0</v>
      </c>
      <c r="O101" s="8">
        <v>0</v>
      </c>
      <c r="P101" s="8">
        <v>327855</v>
      </c>
      <c r="Q101" s="8">
        <v>22250</v>
      </c>
      <c r="R101" s="8">
        <v>0</v>
      </c>
      <c r="S101" s="9">
        <v>135</v>
      </c>
      <c r="T101" s="9">
        <v>11</v>
      </c>
      <c r="U101" s="9">
        <v>75154</v>
      </c>
      <c r="V101" s="9">
        <v>0</v>
      </c>
      <c r="W101" s="9">
        <v>0</v>
      </c>
      <c r="X101" s="9">
        <v>65088</v>
      </c>
      <c r="Y101" s="9">
        <v>10066</v>
      </c>
      <c r="Z101" s="9">
        <v>0</v>
      </c>
      <c r="AB101" s="7">
        <f t="shared" si="5"/>
        <v>14175.3</v>
      </c>
      <c r="AC101" s="7">
        <f t="shared" si="6"/>
        <v>0</v>
      </c>
      <c r="AD101" s="7">
        <f t="shared" si="7"/>
        <v>13098.1</v>
      </c>
    </row>
    <row r="102" spans="1:30" x14ac:dyDescent="0.3">
      <c r="A102" s="2">
        <v>42856</v>
      </c>
      <c r="B102" s="10">
        <f t="shared" si="4"/>
        <v>31</v>
      </c>
      <c r="C102" s="7">
        <v>457</v>
      </c>
      <c r="D102" s="7">
        <v>32</v>
      </c>
      <c r="E102" s="7">
        <v>378822</v>
      </c>
      <c r="F102" s="7">
        <v>0</v>
      </c>
      <c r="G102" s="7">
        <v>0</v>
      </c>
      <c r="H102" s="7">
        <v>346561</v>
      </c>
      <c r="I102" s="7">
        <v>32261</v>
      </c>
      <c r="J102" s="7">
        <v>0</v>
      </c>
      <c r="K102" s="8">
        <v>314</v>
      </c>
      <c r="L102" s="8">
        <v>24</v>
      </c>
      <c r="M102" s="8">
        <v>291899</v>
      </c>
      <c r="N102" s="8">
        <v>0</v>
      </c>
      <c r="O102" s="8">
        <v>0</v>
      </c>
      <c r="P102" s="8">
        <v>270394</v>
      </c>
      <c r="Q102" s="8">
        <v>21505</v>
      </c>
      <c r="R102" s="8">
        <v>0</v>
      </c>
      <c r="S102" s="9">
        <v>143</v>
      </c>
      <c r="T102" s="9">
        <v>8</v>
      </c>
      <c r="U102" s="9">
        <v>86923</v>
      </c>
      <c r="V102" s="9">
        <v>0</v>
      </c>
      <c r="W102" s="9">
        <v>0</v>
      </c>
      <c r="X102" s="9">
        <v>76167</v>
      </c>
      <c r="Y102" s="9">
        <v>10756</v>
      </c>
      <c r="Z102" s="9">
        <v>0</v>
      </c>
      <c r="AB102" s="7">
        <f t="shared" si="5"/>
        <v>12220.064516129032</v>
      </c>
      <c r="AC102" s="7">
        <f t="shared" si="6"/>
        <v>0</v>
      </c>
      <c r="AD102" s="7">
        <f t="shared" si="7"/>
        <v>11179.387096774193</v>
      </c>
    </row>
    <row r="103" spans="1:30" x14ac:dyDescent="0.3">
      <c r="A103" s="2">
        <v>42887</v>
      </c>
      <c r="B103" s="10">
        <f t="shared" si="4"/>
        <v>30</v>
      </c>
      <c r="C103" s="7">
        <v>443</v>
      </c>
      <c r="D103" s="7">
        <v>30</v>
      </c>
      <c r="E103" s="7">
        <v>365433</v>
      </c>
      <c r="F103" s="7">
        <v>0</v>
      </c>
      <c r="G103" s="7">
        <v>0</v>
      </c>
      <c r="H103" s="7">
        <v>341051</v>
      </c>
      <c r="I103" s="7">
        <v>24382</v>
      </c>
      <c r="J103" s="7">
        <v>0</v>
      </c>
      <c r="K103" s="8">
        <v>318</v>
      </c>
      <c r="L103" s="8">
        <v>21</v>
      </c>
      <c r="M103" s="8">
        <v>290426</v>
      </c>
      <c r="N103" s="8">
        <v>0</v>
      </c>
      <c r="O103" s="8">
        <v>0</v>
      </c>
      <c r="P103" s="8">
        <v>273218</v>
      </c>
      <c r="Q103" s="8">
        <v>17208</v>
      </c>
      <c r="R103" s="8">
        <v>0</v>
      </c>
      <c r="S103" s="9">
        <v>125</v>
      </c>
      <c r="T103" s="9">
        <v>9</v>
      </c>
      <c r="U103" s="9">
        <v>75007</v>
      </c>
      <c r="V103" s="9">
        <v>0</v>
      </c>
      <c r="W103" s="9">
        <v>0</v>
      </c>
      <c r="X103" s="9">
        <v>67833</v>
      </c>
      <c r="Y103" s="9">
        <v>7174</v>
      </c>
      <c r="Z103" s="9">
        <v>0</v>
      </c>
      <c r="AB103" s="7">
        <f t="shared" si="5"/>
        <v>12181.1</v>
      </c>
      <c r="AC103" s="7">
        <f t="shared" si="6"/>
        <v>0</v>
      </c>
      <c r="AD103" s="7">
        <f t="shared" si="7"/>
        <v>11368.366666666667</v>
      </c>
    </row>
    <row r="104" spans="1:30" x14ac:dyDescent="0.3">
      <c r="A104" s="2">
        <v>42917</v>
      </c>
      <c r="B104" s="10">
        <f t="shared" si="4"/>
        <v>31</v>
      </c>
      <c r="C104" s="7">
        <v>393</v>
      </c>
      <c r="D104" s="7">
        <v>30</v>
      </c>
      <c r="E104" s="7">
        <v>329647</v>
      </c>
      <c r="F104" s="7">
        <v>0</v>
      </c>
      <c r="G104" s="7">
        <v>0</v>
      </c>
      <c r="H104" s="7">
        <v>306097</v>
      </c>
      <c r="I104" s="7">
        <v>23550</v>
      </c>
      <c r="J104" s="7">
        <v>0</v>
      </c>
      <c r="K104" s="8">
        <v>313</v>
      </c>
      <c r="L104" s="8">
        <v>24</v>
      </c>
      <c r="M104" s="8">
        <v>287426</v>
      </c>
      <c r="N104" s="8">
        <v>0</v>
      </c>
      <c r="O104" s="8">
        <v>0</v>
      </c>
      <c r="P104" s="8">
        <v>268912</v>
      </c>
      <c r="Q104" s="8">
        <v>18514</v>
      </c>
      <c r="R104" s="8">
        <v>0</v>
      </c>
      <c r="S104" s="9">
        <v>80</v>
      </c>
      <c r="T104" s="9">
        <v>6</v>
      </c>
      <c r="U104" s="9">
        <v>42221</v>
      </c>
      <c r="V104" s="9">
        <v>0</v>
      </c>
      <c r="W104" s="9">
        <v>0</v>
      </c>
      <c r="X104" s="9">
        <v>37185</v>
      </c>
      <c r="Y104" s="9">
        <v>5036</v>
      </c>
      <c r="Z104" s="9">
        <v>0</v>
      </c>
      <c r="AB104" s="7">
        <f t="shared" si="5"/>
        <v>10633.774193548386</v>
      </c>
      <c r="AC104" s="7">
        <f t="shared" si="6"/>
        <v>0</v>
      </c>
      <c r="AD104" s="7">
        <f t="shared" si="7"/>
        <v>9874.0967741935492</v>
      </c>
    </row>
    <row r="105" spans="1:30" x14ac:dyDescent="0.3">
      <c r="A105" s="2">
        <v>42948</v>
      </c>
      <c r="B105" s="10">
        <f t="shared" si="4"/>
        <v>31</v>
      </c>
      <c r="C105" s="7">
        <v>447</v>
      </c>
      <c r="D105" s="7">
        <v>28</v>
      </c>
      <c r="E105" s="7">
        <v>355952</v>
      </c>
      <c r="F105" s="7">
        <v>0</v>
      </c>
      <c r="G105" s="7">
        <v>0</v>
      </c>
      <c r="H105" s="7">
        <v>331873</v>
      </c>
      <c r="I105" s="7">
        <v>24079</v>
      </c>
      <c r="J105" s="7">
        <v>0</v>
      </c>
      <c r="K105" s="8">
        <v>313</v>
      </c>
      <c r="L105" s="8">
        <v>20</v>
      </c>
      <c r="M105" s="8">
        <v>277174</v>
      </c>
      <c r="N105" s="8">
        <v>0</v>
      </c>
      <c r="O105" s="8">
        <v>0</v>
      </c>
      <c r="P105" s="8">
        <v>260545</v>
      </c>
      <c r="Q105" s="8">
        <v>16629</v>
      </c>
      <c r="R105" s="8">
        <v>0</v>
      </c>
      <c r="S105" s="9">
        <v>134</v>
      </c>
      <c r="T105" s="9">
        <v>8</v>
      </c>
      <c r="U105" s="9">
        <v>78778</v>
      </c>
      <c r="V105" s="9">
        <v>0</v>
      </c>
      <c r="W105" s="9">
        <v>0</v>
      </c>
      <c r="X105" s="9">
        <v>71328</v>
      </c>
      <c r="Y105" s="9">
        <v>7450</v>
      </c>
      <c r="Z105" s="9">
        <v>0</v>
      </c>
      <c r="AB105" s="7">
        <f t="shared" si="5"/>
        <v>11482.322580645161</v>
      </c>
      <c r="AC105" s="7">
        <f t="shared" si="6"/>
        <v>0</v>
      </c>
      <c r="AD105" s="7">
        <f t="shared" si="7"/>
        <v>10705.58064516129</v>
      </c>
    </row>
    <row r="106" spans="1:30" x14ac:dyDescent="0.3">
      <c r="A106" s="2">
        <v>42979</v>
      </c>
      <c r="B106" s="10">
        <f t="shared" si="4"/>
        <v>30</v>
      </c>
      <c r="C106" s="7">
        <v>465</v>
      </c>
      <c r="D106" s="7">
        <v>29</v>
      </c>
      <c r="E106" s="7">
        <v>373831</v>
      </c>
      <c r="F106" s="7">
        <v>0</v>
      </c>
      <c r="G106" s="7">
        <v>0</v>
      </c>
      <c r="H106" s="7">
        <v>345645</v>
      </c>
      <c r="I106" s="7">
        <v>28186</v>
      </c>
      <c r="J106" s="7">
        <v>0</v>
      </c>
      <c r="K106" s="8">
        <v>290</v>
      </c>
      <c r="L106" s="8">
        <v>18</v>
      </c>
      <c r="M106" s="8">
        <v>278422</v>
      </c>
      <c r="N106" s="8">
        <v>0</v>
      </c>
      <c r="O106" s="8">
        <v>0</v>
      </c>
      <c r="P106" s="8">
        <v>259907</v>
      </c>
      <c r="Q106" s="8">
        <v>18515</v>
      </c>
      <c r="R106" s="8">
        <v>0</v>
      </c>
      <c r="S106" s="9">
        <v>175</v>
      </c>
      <c r="T106" s="9">
        <v>11</v>
      </c>
      <c r="U106" s="9">
        <v>95409</v>
      </c>
      <c r="V106" s="9">
        <v>0</v>
      </c>
      <c r="W106" s="9">
        <v>0</v>
      </c>
      <c r="X106" s="9">
        <v>85738</v>
      </c>
      <c r="Y106" s="9">
        <v>9671</v>
      </c>
      <c r="Z106" s="9">
        <v>0</v>
      </c>
      <c r="AB106" s="7">
        <f t="shared" si="5"/>
        <v>12461.033333333333</v>
      </c>
      <c r="AC106" s="7">
        <f t="shared" si="6"/>
        <v>0</v>
      </c>
      <c r="AD106" s="7">
        <f t="shared" si="7"/>
        <v>11521.5</v>
      </c>
    </row>
    <row r="107" spans="1:30" x14ac:dyDescent="0.3">
      <c r="A107" s="2">
        <v>43009</v>
      </c>
      <c r="B107" s="10">
        <f t="shared" si="4"/>
        <v>31</v>
      </c>
      <c r="C107" s="7">
        <v>497</v>
      </c>
      <c r="D107" s="7">
        <v>30</v>
      </c>
      <c r="E107" s="7">
        <v>391030</v>
      </c>
      <c r="F107" s="7">
        <v>0</v>
      </c>
      <c r="G107" s="7">
        <v>0</v>
      </c>
      <c r="H107" s="7">
        <v>357190</v>
      </c>
      <c r="I107" s="7">
        <v>33840</v>
      </c>
      <c r="J107" s="7">
        <v>0</v>
      </c>
      <c r="K107" s="8">
        <v>322</v>
      </c>
      <c r="L107" s="8">
        <v>21</v>
      </c>
      <c r="M107" s="8">
        <v>297335</v>
      </c>
      <c r="N107" s="8">
        <v>0</v>
      </c>
      <c r="O107" s="8">
        <v>0</v>
      </c>
      <c r="P107" s="8">
        <v>276302</v>
      </c>
      <c r="Q107" s="8">
        <v>21033</v>
      </c>
      <c r="R107" s="8">
        <v>0</v>
      </c>
      <c r="S107" s="9">
        <v>175</v>
      </c>
      <c r="T107" s="9">
        <v>9</v>
      </c>
      <c r="U107" s="9">
        <v>93695</v>
      </c>
      <c r="V107" s="9">
        <v>0</v>
      </c>
      <c r="W107" s="9">
        <v>0</v>
      </c>
      <c r="X107" s="9">
        <v>80888</v>
      </c>
      <c r="Y107" s="9">
        <v>12807</v>
      </c>
      <c r="Z107" s="9">
        <v>0</v>
      </c>
      <c r="AB107" s="7">
        <f t="shared" si="5"/>
        <v>12613.870967741936</v>
      </c>
      <c r="AC107" s="7">
        <f t="shared" si="6"/>
        <v>0</v>
      </c>
      <c r="AD107" s="7">
        <f t="shared" si="7"/>
        <v>11522.258064516129</v>
      </c>
    </row>
    <row r="108" spans="1:30" x14ac:dyDescent="0.3">
      <c r="A108" s="2">
        <v>43040</v>
      </c>
      <c r="B108" s="10">
        <f t="shared" si="4"/>
        <v>30</v>
      </c>
      <c r="C108" s="7">
        <v>482</v>
      </c>
      <c r="D108" s="7">
        <v>32</v>
      </c>
      <c r="E108" s="7">
        <v>377524</v>
      </c>
      <c r="F108" s="7">
        <v>0</v>
      </c>
      <c r="G108" s="7">
        <v>0</v>
      </c>
      <c r="H108" s="7">
        <v>345992</v>
      </c>
      <c r="I108" s="7">
        <v>31532</v>
      </c>
      <c r="J108" s="7">
        <v>0</v>
      </c>
      <c r="K108" s="8">
        <v>280</v>
      </c>
      <c r="L108" s="8">
        <v>20</v>
      </c>
      <c r="M108" s="8">
        <v>276277</v>
      </c>
      <c r="N108" s="8">
        <v>0</v>
      </c>
      <c r="O108" s="8">
        <v>0</v>
      </c>
      <c r="P108" s="8">
        <v>257958</v>
      </c>
      <c r="Q108" s="8">
        <v>18319</v>
      </c>
      <c r="R108" s="8">
        <v>0</v>
      </c>
      <c r="S108" s="9">
        <v>202</v>
      </c>
      <c r="T108" s="9">
        <v>12</v>
      </c>
      <c r="U108" s="9">
        <v>101247</v>
      </c>
      <c r="V108" s="9">
        <v>0</v>
      </c>
      <c r="W108" s="9">
        <v>0</v>
      </c>
      <c r="X108" s="9">
        <v>88034</v>
      </c>
      <c r="Y108" s="9">
        <v>13213</v>
      </c>
      <c r="Z108" s="9">
        <v>0</v>
      </c>
      <c r="AB108" s="7">
        <f t="shared" si="5"/>
        <v>12584.133333333333</v>
      </c>
      <c r="AC108" s="7">
        <f t="shared" si="6"/>
        <v>0</v>
      </c>
      <c r="AD108" s="7">
        <f t="shared" si="7"/>
        <v>11533.066666666668</v>
      </c>
    </row>
    <row r="109" spans="1:30" x14ac:dyDescent="0.3">
      <c r="A109" s="2">
        <v>43070</v>
      </c>
      <c r="B109" s="10">
        <f t="shared" si="4"/>
        <v>31</v>
      </c>
      <c r="C109" s="7">
        <v>517</v>
      </c>
      <c r="D109" s="7">
        <v>32</v>
      </c>
      <c r="E109" s="7">
        <v>390846</v>
      </c>
      <c r="F109" s="7">
        <v>0</v>
      </c>
      <c r="G109" s="7">
        <v>0</v>
      </c>
      <c r="H109" s="7">
        <v>354856</v>
      </c>
      <c r="I109" s="7">
        <v>35990</v>
      </c>
      <c r="J109" s="7">
        <v>0</v>
      </c>
      <c r="K109" s="8">
        <v>339</v>
      </c>
      <c r="L109" s="8">
        <v>22</v>
      </c>
      <c r="M109" s="8">
        <v>296560</v>
      </c>
      <c r="N109" s="8">
        <v>0</v>
      </c>
      <c r="O109" s="8">
        <v>0</v>
      </c>
      <c r="P109" s="8">
        <v>272889</v>
      </c>
      <c r="Q109" s="8">
        <v>23671</v>
      </c>
      <c r="R109" s="8">
        <v>0</v>
      </c>
      <c r="S109" s="9">
        <v>178</v>
      </c>
      <c r="T109" s="9">
        <v>10</v>
      </c>
      <c r="U109" s="9">
        <v>94286</v>
      </c>
      <c r="V109" s="9">
        <v>0</v>
      </c>
      <c r="W109" s="9">
        <v>0</v>
      </c>
      <c r="X109" s="9">
        <v>81967</v>
      </c>
      <c r="Y109" s="9">
        <v>12319</v>
      </c>
      <c r="Z109" s="9">
        <v>0</v>
      </c>
      <c r="AB109" s="7">
        <f t="shared" si="5"/>
        <v>12607.935483870968</v>
      </c>
      <c r="AC109" s="7">
        <f t="shared" si="6"/>
        <v>0</v>
      </c>
      <c r="AD109" s="7">
        <f t="shared" si="7"/>
        <v>11446.967741935483</v>
      </c>
    </row>
    <row r="110" spans="1:30" x14ac:dyDescent="0.3">
      <c r="A110" s="2">
        <v>43101</v>
      </c>
      <c r="B110" s="10">
        <f t="shared" si="4"/>
        <v>31</v>
      </c>
      <c r="C110" s="7">
        <v>581</v>
      </c>
      <c r="D110" s="7">
        <v>32</v>
      </c>
      <c r="E110" s="7">
        <v>480767</v>
      </c>
      <c r="F110" s="7">
        <v>0</v>
      </c>
      <c r="G110" s="7">
        <v>0</v>
      </c>
      <c r="H110" s="7">
        <v>438368</v>
      </c>
      <c r="I110" s="7">
        <v>36942</v>
      </c>
      <c r="J110" s="7">
        <v>5457</v>
      </c>
      <c r="K110" s="8">
        <v>372</v>
      </c>
      <c r="L110" s="8">
        <v>22</v>
      </c>
      <c r="M110" s="8">
        <v>353274</v>
      </c>
      <c r="N110" s="8">
        <v>0</v>
      </c>
      <c r="O110" s="8">
        <v>0</v>
      </c>
      <c r="P110" s="8">
        <v>325779</v>
      </c>
      <c r="Q110" s="8">
        <v>25958</v>
      </c>
      <c r="R110" s="8">
        <v>1537</v>
      </c>
      <c r="S110" s="9">
        <v>209</v>
      </c>
      <c r="T110" s="9">
        <v>10</v>
      </c>
      <c r="U110" s="9">
        <v>127493</v>
      </c>
      <c r="V110" s="9">
        <v>0</v>
      </c>
      <c r="W110" s="9">
        <v>0</v>
      </c>
      <c r="X110" s="9">
        <v>112589</v>
      </c>
      <c r="Y110" s="9">
        <v>10984</v>
      </c>
      <c r="Z110" s="9">
        <v>3920</v>
      </c>
      <c r="AB110" s="7">
        <f t="shared" si="5"/>
        <v>15508.612903225807</v>
      </c>
      <c r="AC110" s="7">
        <f t="shared" si="6"/>
        <v>0</v>
      </c>
      <c r="AD110" s="7">
        <f t="shared" si="7"/>
        <v>14140.903225806451</v>
      </c>
    </row>
    <row r="111" spans="1:30" x14ac:dyDescent="0.3">
      <c r="A111" s="2">
        <v>43132</v>
      </c>
      <c r="B111" s="10">
        <f t="shared" si="4"/>
        <v>28</v>
      </c>
      <c r="C111" s="7">
        <v>547</v>
      </c>
      <c r="D111" s="7">
        <v>30</v>
      </c>
      <c r="E111" s="7">
        <v>424677</v>
      </c>
      <c r="F111" s="7">
        <v>0</v>
      </c>
      <c r="G111" s="7">
        <v>0</v>
      </c>
      <c r="H111" s="7">
        <v>390092</v>
      </c>
      <c r="I111" s="7">
        <v>27767</v>
      </c>
      <c r="J111" s="7">
        <v>6818</v>
      </c>
      <c r="K111" s="8">
        <v>353</v>
      </c>
      <c r="L111" s="8">
        <v>20</v>
      </c>
      <c r="M111" s="8">
        <v>324258</v>
      </c>
      <c r="N111" s="8">
        <v>0</v>
      </c>
      <c r="O111" s="8">
        <v>0</v>
      </c>
      <c r="P111" s="8">
        <v>301285</v>
      </c>
      <c r="Q111" s="8">
        <v>20092</v>
      </c>
      <c r="R111" s="8">
        <v>2881</v>
      </c>
      <c r="S111" s="9">
        <v>194</v>
      </c>
      <c r="T111" s="9">
        <v>10</v>
      </c>
      <c r="U111" s="9">
        <v>100419</v>
      </c>
      <c r="V111" s="9">
        <v>0</v>
      </c>
      <c r="W111" s="9">
        <v>0</v>
      </c>
      <c r="X111" s="9">
        <v>88807</v>
      </c>
      <c r="Y111" s="9">
        <v>7675</v>
      </c>
      <c r="Z111" s="9">
        <v>3937</v>
      </c>
      <c r="AB111" s="7">
        <f t="shared" si="5"/>
        <v>15167.035714285714</v>
      </c>
      <c r="AC111" s="7">
        <f t="shared" si="6"/>
        <v>0</v>
      </c>
      <c r="AD111" s="7">
        <f t="shared" si="7"/>
        <v>13931.857142857143</v>
      </c>
    </row>
    <row r="112" spans="1:30" x14ac:dyDescent="0.3">
      <c r="A112" s="2">
        <v>43160</v>
      </c>
      <c r="B112" s="10">
        <f t="shared" si="4"/>
        <v>31</v>
      </c>
      <c r="C112" s="7">
        <v>622</v>
      </c>
      <c r="D112" s="7">
        <v>31</v>
      </c>
      <c r="E112" s="7">
        <v>463682</v>
      </c>
      <c r="F112" s="7">
        <v>0</v>
      </c>
      <c r="G112" s="7">
        <v>0</v>
      </c>
      <c r="H112" s="7">
        <v>419936</v>
      </c>
      <c r="I112" s="7">
        <v>34872</v>
      </c>
      <c r="J112" s="7">
        <v>8874</v>
      </c>
      <c r="K112" s="8">
        <v>418</v>
      </c>
      <c r="L112" s="8">
        <v>21</v>
      </c>
      <c r="M112" s="8">
        <v>354627</v>
      </c>
      <c r="N112" s="8">
        <v>0</v>
      </c>
      <c r="O112" s="8">
        <v>0</v>
      </c>
      <c r="P112" s="8">
        <v>325514</v>
      </c>
      <c r="Q112" s="8">
        <v>24360</v>
      </c>
      <c r="R112" s="8">
        <v>4753</v>
      </c>
      <c r="S112" s="9">
        <v>204</v>
      </c>
      <c r="T112" s="9">
        <v>10</v>
      </c>
      <c r="U112" s="9">
        <v>109055</v>
      </c>
      <c r="V112" s="9">
        <v>0</v>
      </c>
      <c r="W112" s="9">
        <v>0</v>
      </c>
      <c r="X112" s="9">
        <v>94422</v>
      </c>
      <c r="Y112" s="9">
        <v>10512</v>
      </c>
      <c r="Z112" s="9">
        <v>4121</v>
      </c>
      <c r="AB112" s="7">
        <f t="shared" si="5"/>
        <v>14957.483870967742</v>
      </c>
      <c r="AC112" s="7">
        <f t="shared" si="6"/>
        <v>0</v>
      </c>
      <c r="AD112" s="7">
        <f t="shared" si="7"/>
        <v>13546.322580645161</v>
      </c>
    </row>
    <row r="113" spans="1:33" x14ac:dyDescent="0.3">
      <c r="A113" s="2">
        <v>43191</v>
      </c>
      <c r="B113" s="10">
        <f t="shared" si="4"/>
        <v>30</v>
      </c>
      <c r="C113" s="7">
        <v>536</v>
      </c>
      <c r="D113" s="7">
        <v>31</v>
      </c>
      <c r="E113" s="7">
        <v>373041</v>
      </c>
      <c r="F113" s="7">
        <v>0</v>
      </c>
      <c r="G113" s="7">
        <v>0</v>
      </c>
      <c r="H113" s="7">
        <v>335261</v>
      </c>
      <c r="I113" s="7">
        <v>28877</v>
      </c>
      <c r="J113" s="7">
        <v>8903</v>
      </c>
      <c r="K113" s="8">
        <v>316</v>
      </c>
      <c r="L113" s="8">
        <v>20</v>
      </c>
      <c r="M113" s="8">
        <v>261806</v>
      </c>
      <c r="N113" s="8">
        <v>0</v>
      </c>
      <c r="O113" s="8">
        <v>0</v>
      </c>
      <c r="P113" s="8">
        <v>240670</v>
      </c>
      <c r="Q113" s="8">
        <v>15590</v>
      </c>
      <c r="R113" s="8">
        <v>5546</v>
      </c>
      <c r="S113" s="9">
        <v>220</v>
      </c>
      <c r="T113" s="9">
        <v>11</v>
      </c>
      <c r="U113" s="9">
        <v>111235</v>
      </c>
      <c r="V113" s="9">
        <v>0</v>
      </c>
      <c r="W113" s="9">
        <v>0</v>
      </c>
      <c r="X113" s="9">
        <v>94591</v>
      </c>
      <c r="Y113" s="9">
        <v>13287</v>
      </c>
      <c r="Z113" s="9">
        <v>3357</v>
      </c>
      <c r="AB113" s="7">
        <f t="shared" si="5"/>
        <v>12434.7</v>
      </c>
      <c r="AC113" s="7">
        <f t="shared" si="6"/>
        <v>0</v>
      </c>
      <c r="AD113" s="7">
        <f t="shared" si="7"/>
        <v>11175.366666666667</v>
      </c>
    </row>
    <row r="114" spans="1:33" x14ac:dyDescent="0.3">
      <c r="A114" s="2">
        <v>43221</v>
      </c>
      <c r="B114" s="10">
        <f t="shared" si="4"/>
        <v>31</v>
      </c>
      <c r="C114" s="7">
        <v>574</v>
      </c>
      <c r="D114" s="7">
        <v>32</v>
      </c>
      <c r="E114" s="7">
        <v>403908</v>
      </c>
      <c r="F114" s="7">
        <v>0</v>
      </c>
      <c r="G114" s="7">
        <v>0</v>
      </c>
      <c r="H114" s="7">
        <v>364020</v>
      </c>
      <c r="I114" s="7">
        <v>35993</v>
      </c>
      <c r="J114" s="7">
        <v>3895</v>
      </c>
      <c r="K114" s="8">
        <v>369</v>
      </c>
      <c r="L114" s="8">
        <v>21</v>
      </c>
      <c r="M114" s="8">
        <v>300349</v>
      </c>
      <c r="N114" s="8">
        <v>0</v>
      </c>
      <c r="O114" s="8">
        <v>0</v>
      </c>
      <c r="P114" s="8">
        <v>276006</v>
      </c>
      <c r="Q114" s="8">
        <v>22682</v>
      </c>
      <c r="R114" s="8">
        <v>1661</v>
      </c>
      <c r="S114" s="9">
        <v>205</v>
      </c>
      <c r="T114" s="9">
        <v>11</v>
      </c>
      <c r="U114" s="9">
        <v>103559</v>
      </c>
      <c r="V114" s="9">
        <v>0</v>
      </c>
      <c r="W114" s="9">
        <v>0</v>
      </c>
      <c r="X114" s="9">
        <v>88014</v>
      </c>
      <c r="Y114" s="9">
        <v>13311</v>
      </c>
      <c r="Z114" s="9">
        <v>2234</v>
      </c>
      <c r="AB114" s="7">
        <f t="shared" si="5"/>
        <v>13029.290322580646</v>
      </c>
      <c r="AC114" s="7">
        <f t="shared" si="6"/>
        <v>0</v>
      </c>
      <c r="AD114" s="7">
        <f t="shared" si="7"/>
        <v>11742.58064516129</v>
      </c>
    </row>
    <row r="115" spans="1:33" x14ac:dyDescent="0.3">
      <c r="A115" s="2">
        <v>43252</v>
      </c>
      <c r="B115" s="10">
        <f t="shared" si="4"/>
        <v>30</v>
      </c>
      <c r="C115" s="7">
        <v>498</v>
      </c>
      <c r="D115" s="7">
        <v>28</v>
      </c>
      <c r="E115" s="7">
        <v>362142</v>
      </c>
      <c r="F115" s="7">
        <v>0</v>
      </c>
      <c r="G115" s="7">
        <v>0</v>
      </c>
      <c r="H115" s="7">
        <v>324694</v>
      </c>
      <c r="I115" s="7">
        <v>30946</v>
      </c>
      <c r="J115" s="7">
        <v>6502</v>
      </c>
      <c r="K115" s="8">
        <v>324</v>
      </c>
      <c r="L115" s="8">
        <v>19</v>
      </c>
      <c r="M115" s="8">
        <v>267090</v>
      </c>
      <c r="N115" s="8">
        <v>0</v>
      </c>
      <c r="O115" s="8">
        <v>0</v>
      </c>
      <c r="P115" s="8">
        <v>241219</v>
      </c>
      <c r="Q115" s="8">
        <v>21650</v>
      </c>
      <c r="R115" s="8">
        <v>4221</v>
      </c>
      <c r="S115" s="9">
        <v>174</v>
      </c>
      <c r="T115" s="9">
        <v>9</v>
      </c>
      <c r="U115" s="9">
        <v>95052</v>
      </c>
      <c r="V115" s="9">
        <v>0</v>
      </c>
      <c r="W115" s="9">
        <v>0</v>
      </c>
      <c r="X115" s="9">
        <v>83475</v>
      </c>
      <c r="Y115" s="9">
        <v>9296</v>
      </c>
      <c r="Z115" s="9">
        <v>2281</v>
      </c>
      <c r="AB115" s="7">
        <f t="shared" si="5"/>
        <v>12071.4</v>
      </c>
      <c r="AC115" s="7">
        <f t="shared" si="6"/>
        <v>0</v>
      </c>
      <c r="AD115" s="7">
        <f t="shared" si="7"/>
        <v>10823.133333333333</v>
      </c>
    </row>
    <row r="116" spans="1:33" x14ac:dyDescent="0.3">
      <c r="A116" s="2">
        <v>43282</v>
      </c>
      <c r="B116" s="10">
        <f t="shared" si="4"/>
        <v>31</v>
      </c>
      <c r="C116" s="7">
        <v>473</v>
      </c>
      <c r="D116" s="7">
        <v>31</v>
      </c>
      <c r="E116" s="7">
        <v>352290</v>
      </c>
      <c r="F116" s="7">
        <v>0</v>
      </c>
      <c r="G116" s="7">
        <v>0</v>
      </c>
      <c r="H116" s="7">
        <v>319358</v>
      </c>
      <c r="I116" s="7">
        <v>25464</v>
      </c>
      <c r="J116" s="7">
        <v>7468</v>
      </c>
      <c r="K116" s="8">
        <v>323</v>
      </c>
      <c r="L116" s="8">
        <v>22</v>
      </c>
      <c r="M116" s="8">
        <v>273755</v>
      </c>
      <c r="N116" s="8">
        <v>0</v>
      </c>
      <c r="O116" s="8">
        <v>0</v>
      </c>
      <c r="P116" s="8">
        <v>252636</v>
      </c>
      <c r="Q116" s="8">
        <v>17220</v>
      </c>
      <c r="R116" s="8">
        <v>3899</v>
      </c>
      <c r="S116" s="9">
        <v>150</v>
      </c>
      <c r="T116" s="9">
        <v>9</v>
      </c>
      <c r="U116" s="9">
        <v>78535</v>
      </c>
      <c r="V116" s="9">
        <v>0</v>
      </c>
      <c r="W116" s="9">
        <v>0</v>
      </c>
      <c r="X116" s="9">
        <v>66722</v>
      </c>
      <c r="Y116" s="9">
        <v>8244</v>
      </c>
      <c r="Z116" s="9">
        <v>3569</v>
      </c>
      <c r="AB116" s="7">
        <f t="shared" si="5"/>
        <v>11364.193548387097</v>
      </c>
      <c r="AC116" s="7">
        <f t="shared" si="6"/>
        <v>0</v>
      </c>
      <c r="AD116" s="7">
        <f t="shared" si="7"/>
        <v>10301.870967741936</v>
      </c>
    </row>
    <row r="117" spans="1:33" x14ac:dyDescent="0.3">
      <c r="A117" s="2">
        <v>43313</v>
      </c>
      <c r="B117" s="10">
        <f t="shared" si="4"/>
        <v>31</v>
      </c>
      <c r="C117" s="7">
        <v>459</v>
      </c>
      <c r="D117" s="7">
        <v>27</v>
      </c>
      <c r="E117" s="7">
        <v>348664</v>
      </c>
      <c r="F117" s="7">
        <v>0</v>
      </c>
      <c r="G117" s="7">
        <v>0</v>
      </c>
      <c r="H117" s="7">
        <v>319726</v>
      </c>
      <c r="I117" s="7">
        <v>22857</v>
      </c>
      <c r="J117" s="7">
        <v>6081</v>
      </c>
      <c r="K117" s="8">
        <v>325</v>
      </c>
      <c r="L117" s="8">
        <v>19</v>
      </c>
      <c r="M117" s="8">
        <v>275591</v>
      </c>
      <c r="N117" s="8">
        <v>0</v>
      </c>
      <c r="O117" s="8">
        <v>0</v>
      </c>
      <c r="P117" s="8">
        <v>256773</v>
      </c>
      <c r="Q117" s="8">
        <v>15449</v>
      </c>
      <c r="R117" s="8">
        <v>3369</v>
      </c>
      <c r="S117" s="9">
        <v>134</v>
      </c>
      <c r="T117" s="9">
        <v>8</v>
      </c>
      <c r="U117" s="9">
        <v>73073</v>
      </c>
      <c r="V117" s="9">
        <v>0</v>
      </c>
      <c r="W117" s="9">
        <v>0</v>
      </c>
      <c r="X117" s="9">
        <v>62953</v>
      </c>
      <c r="Y117" s="9">
        <v>7408</v>
      </c>
      <c r="Z117" s="9">
        <v>2712</v>
      </c>
      <c r="AB117" s="7">
        <f t="shared" si="5"/>
        <v>11247.225806451614</v>
      </c>
      <c r="AC117" s="7">
        <f t="shared" si="6"/>
        <v>0</v>
      </c>
      <c r="AD117" s="7">
        <f t="shared" si="7"/>
        <v>10313.741935483871</v>
      </c>
    </row>
    <row r="118" spans="1:33" x14ac:dyDescent="0.3">
      <c r="A118" s="2">
        <v>43344</v>
      </c>
      <c r="B118" s="10">
        <f t="shared" si="4"/>
        <v>30</v>
      </c>
      <c r="C118" s="7">
        <v>422</v>
      </c>
      <c r="D118" s="7">
        <v>27</v>
      </c>
      <c r="E118" s="7">
        <v>324413</v>
      </c>
      <c r="F118" s="7">
        <v>0</v>
      </c>
      <c r="G118" s="7">
        <v>0</v>
      </c>
      <c r="H118" s="7">
        <v>293112</v>
      </c>
      <c r="I118" s="7">
        <v>24512</v>
      </c>
      <c r="J118" s="7">
        <v>6789</v>
      </c>
      <c r="K118" s="8">
        <v>273</v>
      </c>
      <c r="L118" s="8">
        <v>17</v>
      </c>
      <c r="M118" s="8">
        <v>247445</v>
      </c>
      <c r="N118" s="8">
        <v>0</v>
      </c>
      <c r="O118" s="8">
        <v>0</v>
      </c>
      <c r="P118" s="8">
        <v>228731</v>
      </c>
      <c r="Q118" s="8">
        <v>15209</v>
      </c>
      <c r="R118" s="8">
        <v>3505</v>
      </c>
      <c r="S118" s="9">
        <v>149</v>
      </c>
      <c r="T118" s="9">
        <v>10</v>
      </c>
      <c r="U118" s="9">
        <v>76968</v>
      </c>
      <c r="V118" s="9">
        <v>0</v>
      </c>
      <c r="W118" s="9">
        <v>0</v>
      </c>
      <c r="X118" s="9">
        <v>64381</v>
      </c>
      <c r="Y118" s="9">
        <v>9303</v>
      </c>
      <c r="Z118" s="9">
        <v>3284</v>
      </c>
      <c r="AB118" s="7">
        <f t="shared" si="5"/>
        <v>10813.766666666666</v>
      </c>
      <c r="AC118" s="7">
        <f t="shared" si="6"/>
        <v>0</v>
      </c>
      <c r="AD118" s="7">
        <f t="shared" si="7"/>
        <v>9770.4</v>
      </c>
    </row>
    <row r="119" spans="1:33" x14ac:dyDescent="0.3">
      <c r="A119" s="2">
        <v>43374</v>
      </c>
      <c r="B119" s="10">
        <f t="shared" si="4"/>
        <v>31</v>
      </c>
      <c r="C119" s="7">
        <v>439</v>
      </c>
      <c r="D119" s="7">
        <v>25</v>
      </c>
      <c r="E119" s="7">
        <v>321050</v>
      </c>
      <c r="F119" s="7">
        <v>0</v>
      </c>
      <c r="G119" s="7">
        <v>0</v>
      </c>
      <c r="H119" s="7">
        <v>291544</v>
      </c>
      <c r="I119" s="7">
        <v>28738</v>
      </c>
      <c r="J119" s="7">
        <v>768</v>
      </c>
      <c r="K119" s="8">
        <v>262</v>
      </c>
      <c r="L119" s="8">
        <v>16</v>
      </c>
      <c r="M119" s="8">
        <v>224589</v>
      </c>
      <c r="N119" s="8">
        <v>0</v>
      </c>
      <c r="O119" s="8">
        <v>0</v>
      </c>
      <c r="P119" s="8">
        <v>207648</v>
      </c>
      <c r="Q119" s="8">
        <v>16941</v>
      </c>
      <c r="R119" s="8">
        <v>0</v>
      </c>
      <c r="S119" s="9">
        <v>177</v>
      </c>
      <c r="T119" s="9">
        <v>9</v>
      </c>
      <c r="U119" s="9">
        <v>96461</v>
      </c>
      <c r="V119" s="9">
        <v>0</v>
      </c>
      <c r="W119" s="9">
        <v>0</v>
      </c>
      <c r="X119" s="9">
        <v>83896</v>
      </c>
      <c r="Y119" s="9">
        <v>11797</v>
      </c>
      <c r="Z119" s="9">
        <v>768</v>
      </c>
      <c r="AB119" s="7">
        <f t="shared" si="5"/>
        <v>10356.451612903225</v>
      </c>
      <c r="AC119" s="7">
        <f t="shared" si="6"/>
        <v>0</v>
      </c>
      <c r="AD119" s="7">
        <f t="shared" si="7"/>
        <v>9404.645161290322</v>
      </c>
    </row>
    <row r="120" spans="1:33" x14ac:dyDescent="0.3">
      <c r="A120" s="2">
        <v>43405</v>
      </c>
      <c r="B120" s="10">
        <f t="shared" si="4"/>
        <v>30</v>
      </c>
      <c r="C120" s="7">
        <v>403</v>
      </c>
      <c r="D120" s="7">
        <v>26</v>
      </c>
      <c r="E120" s="7">
        <v>308366</v>
      </c>
      <c r="F120" s="7">
        <v>0</v>
      </c>
      <c r="G120" s="7">
        <v>0</v>
      </c>
      <c r="H120" s="7">
        <v>278736</v>
      </c>
      <c r="I120" s="7">
        <v>27479</v>
      </c>
      <c r="J120" s="7">
        <v>2151</v>
      </c>
      <c r="K120" s="8">
        <v>243</v>
      </c>
      <c r="L120" s="8">
        <v>17</v>
      </c>
      <c r="M120" s="8">
        <v>220388</v>
      </c>
      <c r="N120" s="8">
        <v>0</v>
      </c>
      <c r="O120" s="8">
        <v>0</v>
      </c>
      <c r="P120" s="8">
        <v>203475</v>
      </c>
      <c r="Q120" s="8">
        <v>15643</v>
      </c>
      <c r="R120" s="8">
        <v>1270</v>
      </c>
      <c r="S120" s="9">
        <v>160</v>
      </c>
      <c r="T120" s="9">
        <v>9</v>
      </c>
      <c r="U120" s="9">
        <v>87978</v>
      </c>
      <c r="V120" s="9">
        <v>0</v>
      </c>
      <c r="W120" s="9">
        <v>0</v>
      </c>
      <c r="X120" s="9">
        <v>75261</v>
      </c>
      <c r="Y120" s="9">
        <v>11836</v>
      </c>
      <c r="Z120" s="9">
        <v>881</v>
      </c>
      <c r="AB120" s="7">
        <f t="shared" si="5"/>
        <v>10278.866666666667</v>
      </c>
      <c r="AC120" s="7">
        <f t="shared" si="6"/>
        <v>0</v>
      </c>
      <c r="AD120" s="7">
        <f t="shared" si="7"/>
        <v>9291.2000000000007</v>
      </c>
      <c r="AE120" s="1"/>
      <c r="AG120" s="1"/>
    </row>
    <row r="121" spans="1:33" x14ac:dyDescent="0.3">
      <c r="A121" s="2">
        <v>43435</v>
      </c>
      <c r="B121" s="10">
        <f t="shared" si="4"/>
        <v>31</v>
      </c>
      <c r="C121" s="7">
        <v>492</v>
      </c>
      <c r="D121" s="7">
        <v>26</v>
      </c>
      <c r="E121" s="7">
        <v>388630</v>
      </c>
      <c r="F121" s="7">
        <v>0</v>
      </c>
      <c r="G121" s="7">
        <v>0</v>
      </c>
      <c r="H121" s="7">
        <v>355589</v>
      </c>
      <c r="I121" s="7">
        <v>28684</v>
      </c>
      <c r="J121" s="7">
        <v>4357</v>
      </c>
      <c r="K121" s="8">
        <v>320</v>
      </c>
      <c r="L121" s="8">
        <v>17</v>
      </c>
      <c r="M121" s="8">
        <v>285265</v>
      </c>
      <c r="N121" s="8">
        <v>0</v>
      </c>
      <c r="O121" s="8">
        <v>0</v>
      </c>
      <c r="P121" s="8">
        <v>266513</v>
      </c>
      <c r="Q121" s="8">
        <v>17174</v>
      </c>
      <c r="R121" s="8">
        <v>1578</v>
      </c>
      <c r="S121" s="9">
        <v>172</v>
      </c>
      <c r="T121" s="9">
        <v>9</v>
      </c>
      <c r="U121" s="9">
        <v>103365</v>
      </c>
      <c r="V121" s="9">
        <v>0</v>
      </c>
      <c r="W121" s="9">
        <v>0</v>
      </c>
      <c r="X121" s="9">
        <v>89076</v>
      </c>
      <c r="Y121" s="9">
        <v>11510</v>
      </c>
      <c r="Z121" s="9">
        <v>2779</v>
      </c>
      <c r="AB121" s="7">
        <f t="shared" si="5"/>
        <v>12536.451612903225</v>
      </c>
      <c r="AC121" s="7">
        <f t="shared" si="6"/>
        <v>0</v>
      </c>
      <c r="AD121" s="7">
        <f t="shared" si="7"/>
        <v>11470.612903225807</v>
      </c>
      <c r="AE121" s="1"/>
      <c r="AG121" s="1"/>
    </row>
    <row r="122" spans="1:33" x14ac:dyDescent="0.3">
      <c r="A122" s="2">
        <v>43466</v>
      </c>
      <c r="B122" s="10">
        <f t="shared" si="4"/>
        <v>31</v>
      </c>
      <c r="C122" s="7">
        <v>569</v>
      </c>
      <c r="D122" s="7">
        <v>30</v>
      </c>
      <c r="E122" s="7">
        <v>438681</v>
      </c>
      <c r="F122" s="7">
        <v>0</v>
      </c>
      <c r="G122" s="7">
        <v>0</v>
      </c>
      <c r="H122" s="7">
        <v>393965</v>
      </c>
      <c r="I122" s="7">
        <v>42440</v>
      </c>
      <c r="J122" s="7">
        <v>2276</v>
      </c>
      <c r="K122" s="8">
        <v>391</v>
      </c>
      <c r="L122" s="8">
        <v>21</v>
      </c>
      <c r="M122" s="8">
        <v>331077</v>
      </c>
      <c r="N122" s="8">
        <v>0</v>
      </c>
      <c r="O122" s="8">
        <v>0</v>
      </c>
      <c r="P122" s="8">
        <v>298828</v>
      </c>
      <c r="Q122" s="8">
        <v>32249</v>
      </c>
      <c r="R122" s="8">
        <v>0</v>
      </c>
      <c r="S122" s="9">
        <v>178</v>
      </c>
      <c r="T122" s="9">
        <v>9</v>
      </c>
      <c r="U122" s="9">
        <v>107604</v>
      </c>
      <c r="V122" s="9">
        <v>0</v>
      </c>
      <c r="W122" s="9">
        <v>0</v>
      </c>
      <c r="X122" s="9">
        <v>95137</v>
      </c>
      <c r="Y122" s="9">
        <v>10191</v>
      </c>
      <c r="Z122" s="9">
        <v>2276</v>
      </c>
      <c r="AB122" s="7">
        <f t="shared" si="5"/>
        <v>14151</v>
      </c>
      <c r="AC122" s="7">
        <f t="shared" si="6"/>
        <v>0</v>
      </c>
      <c r="AD122" s="7">
        <f t="shared" si="7"/>
        <v>12708.548387096775</v>
      </c>
    </row>
    <row r="123" spans="1:33" x14ac:dyDescent="0.3">
      <c r="A123" s="2">
        <v>43497</v>
      </c>
      <c r="B123" s="10">
        <f t="shared" si="4"/>
        <v>28</v>
      </c>
      <c r="C123" s="7">
        <v>495</v>
      </c>
      <c r="D123" s="7">
        <v>28</v>
      </c>
      <c r="E123" s="7">
        <v>367875</v>
      </c>
      <c r="F123" s="7">
        <v>0</v>
      </c>
      <c r="G123" s="7">
        <v>0</v>
      </c>
      <c r="H123" s="7">
        <v>329051</v>
      </c>
      <c r="I123" s="7">
        <v>36833</v>
      </c>
      <c r="J123" s="7">
        <v>1991</v>
      </c>
      <c r="K123" s="8">
        <v>316</v>
      </c>
      <c r="L123" s="8">
        <v>18</v>
      </c>
      <c r="M123" s="8">
        <v>264667</v>
      </c>
      <c r="N123" s="8">
        <v>0</v>
      </c>
      <c r="O123" s="8">
        <v>0</v>
      </c>
      <c r="P123" s="8">
        <v>240966</v>
      </c>
      <c r="Q123" s="8">
        <v>23701</v>
      </c>
      <c r="R123" s="8">
        <v>0</v>
      </c>
      <c r="S123" s="9">
        <v>179</v>
      </c>
      <c r="T123" s="9">
        <v>10</v>
      </c>
      <c r="U123" s="9">
        <v>103208</v>
      </c>
      <c r="V123" s="9">
        <v>0</v>
      </c>
      <c r="W123" s="9">
        <v>0</v>
      </c>
      <c r="X123" s="9">
        <v>88085</v>
      </c>
      <c r="Y123" s="9">
        <v>13132</v>
      </c>
      <c r="Z123" s="9">
        <v>1991</v>
      </c>
      <c r="AB123" s="7">
        <f t="shared" si="5"/>
        <v>13138.392857142857</v>
      </c>
      <c r="AC123" s="7">
        <f t="shared" si="6"/>
        <v>0</v>
      </c>
      <c r="AD123" s="7">
        <f t="shared" si="7"/>
        <v>11751.821428571429</v>
      </c>
    </row>
    <row r="124" spans="1:33" x14ac:dyDescent="0.3">
      <c r="A124" s="2">
        <v>43525</v>
      </c>
      <c r="B124" s="10">
        <f t="shared" si="4"/>
        <v>31</v>
      </c>
      <c r="C124" s="7">
        <v>563</v>
      </c>
      <c r="D124" s="7">
        <v>28</v>
      </c>
      <c r="E124" s="7">
        <v>449815</v>
      </c>
      <c r="F124" s="7">
        <v>0</v>
      </c>
      <c r="G124" s="7">
        <v>0</v>
      </c>
      <c r="H124" s="7">
        <v>403117</v>
      </c>
      <c r="I124" s="7">
        <v>43722</v>
      </c>
      <c r="J124" s="7">
        <v>2976</v>
      </c>
      <c r="K124" s="8">
        <v>391</v>
      </c>
      <c r="L124" s="8">
        <v>20</v>
      </c>
      <c r="M124" s="8">
        <v>353622</v>
      </c>
      <c r="N124" s="8">
        <v>0</v>
      </c>
      <c r="O124" s="8">
        <v>0</v>
      </c>
      <c r="P124" s="8">
        <v>321931</v>
      </c>
      <c r="Q124" s="8">
        <v>30651</v>
      </c>
      <c r="R124" s="8">
        <v>1040</v>
      </c>
      <c r="S124" s="9">
        <v>172</v>
      </c>
      <c r="T124" s="9">
        <v>8</v>
      </c>
      <c r="U124" s="9">
        <v>96193</v>
      </c>
      <c r="V124" s="9">
        <v>0</v>
      </c>
      <c r="W124" s="9">
        <v>0</v>
      </c>
      <c r="X124" s="9">
        <v>81186</v>
      </c>
      <c r="Y124" s="9">
        <v>13071</v>
      </c>
      <c r="Z124" s="9">
        <v>1936</v>
      </c>
      <c r="AB124" s="7">
        <f t="shared" si="5"/>
        <v>14510.161290322581</v>
      </c>
      <c r="AC124" s="7">
        <f t="shared" si="6"/>
        <v>0</v>
      </c>
      <c r="AD124" s="7">
        <f t="shared" si="7"/>
        <v>13003.774193548386</v>
      </c>
    </row>
    <row r="125" spans="1:33" x14ac:dyDescent="0.3">
      <c r="A125" s="2">
        <v>43556</v>
      </c>
      <c r="B125" s="10">
        <f t="shared" si="4"/>
        <v>30</v>
      </c>
      <c r="C125" s="7">
        <v>557</v>
      </c>
      <c r="D125" s="7">
        <v>29</v>
      </c>
      <c r="E125" s="7">
        <v>406677</v>
      </c>
      <c r="F125" s="7">
        <v>0</v>
      </c>
      <c r="G125" s="7">
        <v>0</v>
      </c>
      <c r="H125" s="7">
        <v>363086</v>
      </c>
      <c r="I125" s="7">
        <v>38188</v>
      </c>
      <c r="J125" s="7">
        <v>5403</v>
      </c>
      <c r="K125" s="8">
        <v>459</v>
      </c>
      <c r="L125" s="8">
        <v>24</v>
      </c>
      <c r="M125" s="8">
        <v>344128</v>
      </c>
      <c r="N125" s="8">
        <v>0</v>
      </c>
      <c r="O125" s="8">
        <v>0</v>
      </c>
      <c r="P125" s="8">
        <v>310556</v>
      </c>
      <c r="Q125" s="8">
        <v>31096</v>
      </c>
      <c r="R125" s="8">
        <v>2476</v>
      </c>
      <c r="S125" s="9">
        <v>98</v>
      </c>
      <c r="T125" s="9">
        <v>5</v>
      </c>
      <c r="U125" s="9">
        <v>62549</v>
      </c>
      <c r="V125" s="9">
        <v>0</v>
      </c>
      <c r="W125" s="9">
        <v>0</v>
      </c>
      <c r="X125" s="9">
        <v>52530</v>
      </c>
      <c r="Y125" s="9">
        <v>7092</v>
      </c>
      <c r="Z125" s="9">
        <v>2927</v>
      </c>
      <c r="AB125" s="7">
        <f t="shared" si="5"/>
        <v>13555.9</v>
      </c>
      <c r="AC125" s="7">
        <f t="shared" si="6"/>
        <v>0</v>
      </c>
      <c r="AD125" s="7">
        <f t="shared" si="7"/>
        <v>12102.866666666667</v>
      </c>
    </row>
    <row r="126" spans="1:33" x14ac:dyDescent="0.3">
      <c r="A126" s="2">
        <v>43586</v>
      </c>
      <c r="B126" s="10">
        <f t="shared" si="4"/>
        <v>31</v>
      </c>
      <c r="C126" s="7">
        <v>531</v>
      </c>
      <c r="D126" s="7">
        <v>31</v>
      </c>
      <c r="E126" s="7">
        <v>414618</v>
      </c>
      <c r="F126" s="7">
        <v>0</v>
      </c>
      <c r="G126" s="7">
        <v>0</v>
      </c>
      <c r="H126" s="7">
        <v>374232</v>
      </c>
      <c r="I126" s="7">
        <v>35014</v>
      </c>
      <c r="J126" s="7">
        <v>5372</v>
      </c>
      <c r="K126" s="8">
        <v>420</v>
      </c>
      <c r="L126" s="8">
        <v>25</v>
      </c>
      <c r="M126" s="8">
        <v>344184</v>
      </c>
      <c r="N126" s="8">
        <v>0</v>
      </c>
      <c r="O126" s="8">
        <v>0</v>
      </c>
      <c r="P126" s="8">
        <v>311835</v>
      </c>
      <c r="Q126" s="8">
        <v>28745</v>
      </c>
      <c r="R126" s="8">
        <v>3604</v>
      </c>
      <c r="S126" s="9">
        <v>111</v>
      </c>
      <c r="T126" s="9">
        <v>6</v>
      </c>
      <c r="U126" s="9">
        <v>70434</v>
      </c>
      <c r="V126" s="9">
        <v>0</v>
      </c>
      <c r="W126" s="9">
        <v>0</v>
      </c>
      <c r="X126" s="9">
        <v>62397</v>
      </c>
      <c r="Y126" s="9">
        <v>6269</v>
      </c>
      <c r="Z126" s="9">
        <v>1768</v>
      </c>
      <c r="AB126" s="7">
        <f t="shared" si="5"/>
        <v>13374.774193548386</v>
      </c>
      <c r="AC126" s="7">
        <f t="shared" si="6"/>
        <v>0</v>
      </c>
      <c r="AD126" s="7">
        <f t="shared" si="7"/>
        <v>12072</v>
      </c>
    </row>
    <row r="127" spans="1:33" x14ac:dyDescent="0.3">
      <c r="A127" s="2">
        <v>43617</v>
      </c>
      <c r="B127" s="10">
        <f t="shared" si="4"/>
        <v>30</v>
      </c>
      <c r="C127" s="7">
        <v>640</v>
      </c>
      <c r="D127" s="7">
        <v>32</v>
      </c>
      <c r="E127" s="7">
        <v>480464</v>
      </c>
      <c r="F127" s="7">
        <v>0</v>
      </c>
      <c r="G127" s="7">
        <v>0</v>
      </c>
      <c r="H127" s="7">
        <v>433672</v>
      </c>
      <c r="I127" s="7">
        <v>39941</v>
      </c>
      <c r="J127" s="7">
        <v>6851</v>
      </c>
      <c r="K127" s="8">
        <v>488</v>
      </c>
      <c r="L127" s="8">
        <v>25</v>
      </c>
      <c r="M127" s="8">
        <v>382246</v>
      </c>
      <c r="N127" s="8">
        <v>0</v>
      </c>
      <c r="O127" s="8">
        <v>0</v>
      </c>
      <c r="P127" s="8">
        <v>345380</v>
      </c>
      <c r="Q127" s="8">
        <v>33781</v>
      </c>
      <c r="R127" s="8">
        <v>3085</v>
      </c>
      <c r="S127" s="9">
        <v>152</v>
      </c>
      <c r="T127" s="9">
        <v>7</v>
      </c>
      <c r="U127" s="9">
        <v>98218</v>
      </c>
      <c r="V127" s="9">
        <v>0</v>
      </c>
      <c r="W127" s="9">
        <v>0</v>
      </c>
      <c r="X127" s="9">
        <v>88292</v>
      </c>
      <c r="Y127" s="9">
        <v>6160</v>
      </c>
      <c r="Z127" s="9">
        <v>3766</v>
      </c>
      <c r="AB127" s="7">
        <f t="shared" si="5"/>
        <v>16015.466666666667</v>
      </c>
      <c r="AC127" s="7">
        <f t="shared" si="6"/>
        <v>0</v>
      </c>
      <c r="AD127" s="7">
        <f t="shared" si="7"/>
        <v>14455.733333333334</v>
      </c>
    </row>
    <row r="128" spans="1:33" x14ac:dyDescent="0.3">
      <c r="A128" s="2">
        <v>43647</v>
      </c>
      <c r="B128" s="10">
        <f t="shared" si="4"/>
        <v>31</v>
      </c>
      <c r="C128" s="7">
        <v>643</v>
      </c>
      <c r="D128" s="7">
        <v>34</v>
      </c>
      <c r="E128" s="7">
        <v>484144</v>
      </c>
      <c r="F128" s="7">
        <v>0</v>
      </c>
      <c r="G128" s="7">
        <v>0</v>
      </c>
      <c r="H128" s="7">
        <v>434559</v>
      </c>
      <c r="I128" s="7">
        <v>43693</v>
      </c>
      <c r="J128" s="7">
        <v>5892</v>
      </c>
      <c r="K128" s="8">
        <v>503</v>
      </c>
      <c r="L128" s="8">
        <v>27</v>
      </c>
      <c r="M128" s="8">
        <v>392307</v>
      </c>
      <c r="N128" s="8">
        <v>0</v>
      </c>
      <c r="O128" s="8">
        <v>0</v>
      </c>
      <c r="P128" s="8">
        <v>350574</v>
      </c>
      <c r="Q128" s="8">
        <v>37510</v>
      </c>
      <c r="R128" s="8">
        <v>4223</v>
      </c>
      <c r="S128" s="9">
        <v>140</v>
      </c>
      <c r="T128" s="9">
        <v>7</v>
      </c>
      <c r="U128" s="9">
        <v>91837</v>
      </c>
      <c r="V128" s="9">
        <v>0</v>
      </c>
      <c r="W128" s="9">
        <v>0</v>
      </c>
      <c r="X128" s="9">
        <v>83985</v>
      </c>
      <c r="Y128" s="9">
        <v>6183</v>
      </c>
      <c r="Z128" s="9">
        <v>1669</v>
      </c>
      <c r="AB128" s="7">
        <f t="shared" si="5"/>
        <v>15617.548387096775</v>
      </c>
      <c r="AC128" s="7">
        <f t="shared" si="6"/>
        <v>0</v>
      </c>
      <c r="AD128" s="7">
        <f t="shared" si="7"/>
        <v>14018.032258064517</v>
      </c>
    </row>
    <row r="129" spans="1:30" x14ac:dyDescent="0.3">
      <c r="A129" s="2">
        <v>43678</v>
      </c>
      <c r="B129" s="10">
        <f t="shared" si="4"/>
        <v>31</v>
      </c>
      <c r="C129" s="7">
        <v>711</v>
      </c>
      <c r="D129" s="7">
        <v>34</v>
      </c>
      <c r="E129" s="7">
        <v>528572</v>
      </c>
      <c r="F129" s="7">
        <v>0</v>
      </c>
      <c r="G129" s="7">
        <v>0</v>
      </c>
      <c r="H129" s="7">
        <v>465431</v>
      </c>
      <c r="I129" s="7">
        <v>54804</v>
      </c>
      <c r="J129" s="7">
        <v>8337</v>
      </c>
      <c r="K129" s="8">
        <v>537</v>
      </c>
      <c r="L129" s="8">
        <v>26</v>
      </c>
      <c r="M129" s="8">
        <v>413095</v>
      </c>
      <c r="N129" s="8">
        <v>0</v>
      </c>
      <c r="O129" s="8">
        <v>0</v>
      </c>
      <c r="P129" s="8">
        <v>361259</v>
      </c>
      <c r="Q129" s="8">
        <v>46536</v>
      </c>
      <c r="R129" s="8">
        <v>5300</v>
      </c>
      <c r="S129" s="9">
        <v>174</v>
      </c>
      <c r="T129" s="9">
        <v>8</v>
      </c>
      <c r="U129" s="9">
        <v>115477</v>
      </c>
      <c r="V129" s="9">
        <v>0</v>
      </c>
      <c r="W129" s="9">
        <v>0</v>
      </c>
      <c r="X129" s="9">
        <v>104172</v>
      </c>
      <c r="Y129" s="9">
        <v>8268</v>
      </c>
      <c r="Z129" s="9">
        <v>3037</v>
      </c>
      <c r="AB129" s="7">
        <f t="shared" si="5"/>
        <v>17050.709677419356</v>
      </c>
      <c r="AC129" s="7">
        <f t="shared" si="6"/>
        <v>0</v>
      </c>
      <c r="AD129" s="7">
        <f t="shared" si="7"/>
        <v>15013.903225806451</v>
      </c>
    </row>
    <row r="130" spans="1:30" x14ac:dyDescent="0.3">
      <c r="A130" s="2">
        <v>43709</v>
      </c>
      <c r="B130" s="10">
        <f t="shared" ref="B130:B157" si="8">_xlfn.DAYS(EOMONTH(A130,0),A130)+1</f>
        <v>30</v>
      </c>
      <c r="C130" s="7">
        <v>585</v>
      </c>
      <c r="D130" s="7">
        <v>33</v>
      </c>
      <c r="E130" s="7">
        <v>392887</v>
      </c>
      <c r="F130" s="7">
        <v>0</v>
      </c>
      <c r="G130" s="7">
        <v>0</v>
      </c>
      <c r="H130" s="7">
        <v>338593</v>
      </c>
      <c r="I130" s="7">
        <v>50644</v>
      </c>
      <c r="J130" s="7">
        <v>3650</v>
      </c>
      <c r="K130" s="8">
        <v>478</v>
      </c>
      <c r="L130" s="8">
        <v>27</v>
      </c>
      <c r="M130" s="8">
        <v>327451</v>
      </c>
      <c r="N130" s="8">
        <v>0</v>
      </c>
      <c r="O130" s="8">
        <v>0</v>
      </c>
      <c r="P130" s="8">
        <v>281052</v>
      </c>
      <c r="Q130" s="8">
        <v>43229</v>
      </c>
      <c r="R130" s="8">
        <v>3170</v>
      </c>
      <c r="S130" s="9">
        <v>107</v>
      </c>
      <c r="T130" s="9">
        <v>6</v>
      </c>
      <c r="U130" s="9">
        <v>65436</v>
      </c>
      <c r="V130" s="9">
        <v>0</v>
      </c>
      <c r="W130" s="9">
        <v>0</v>
      </c>
      <c r="X130" s="9">
        <v>57541</v>
      </c>
      <c r="Y130" s="9">
        <v>7415</v>
      </c>
      <c r="Z130" s="9">
        <v>480</v>
      </c>
      <c r="AB130" s="7">
        <f t="shared" ref="AB130:AB182" si="9">E130/B130</f>
        <v>13096.233333333334</v>
      </c>
      <c r="AC130" s="7">
        <f t="shared" ref="AC130:AC182" si="10">G130/B130</f>
        <v>0</v>
      </c>
      <c r="AD130" s="7">
        <f t="shared" ref="AD130:AD182" si="11">H130/B130</f>
        <v>11286.433333333332</v>
      </c>
    </row>
    <row r="131" spans="1:30" x14ac:dyDescent="0.3">
      <c r="A131" s="2">
        <v>43739</v>
      </c>
      <c r="B131" s="10">
        <f t="shared" si="8"/>
        <v>31</v>
      </c>
      <c r="C131" s="7">
        <v>697</v>
      </c>
      <c r="D131" s="7">
        <v>33</v>
      </c>
      <c r="E131" s="7">
        <v>423542</v>
      </c>
      <c r="F131" s="7">
        <v>0</v>
      </c>
      <c r="G131" s="7">
        <v>0</v>
      </c>
      <c r="H131" s="7">
        <v>369817</v>
      </c>
      <c r="I131" s="7">
        <v>44411</v>
      </c>
      <c r="J131" s="7">
        <v>9314</v>
      </c>
      <c r="K131" s="8">
        <v>530</v>
      </c>
      <c r="L131" s="8">
        <v>27</v>
      </c>
      <c r="M131" s="8">
        <v>344523</v>
      </c>
      <c r="N131" s="8">
        <v>0</v>
      </c>
      <c r="O131" s="8">
        <v>0</v>
      </c>
      <c r="P131" s="8">
        <v>301935</v>
      </c>
      <c r="Q131" s="8">
        <v>35140</v>
      </c>
      <c r="R131" s="8">
        <v>7448</v>
      </c>
      <c r="S131" s="9">
        <v>167</v>
      </c>
      <c r="T131" s="9">
        <v>6</v>
      </c>
      <c r="U131" s="9">
        <v>79019</v>
      </c>
      <c r="V131" s="9">
        <v>0</v>
      </c>
      <c r="W131" s="9">
        <v>0</v>
      </c>
      <c r="X131" s="9">
        <v>67882</v>
      </c>
      <c r="Y131" s="9">
        <v>9271</v>
      </c>
      <c r="Z131" s="9">
        <v>1866</v>
      </c>
      <c r="AB131" s="7">
        <f t="shared" si="9"/>
        <v>13662.645161290322</v>
      </c>
      <c r="AC131" s="7">
        <f t="shared" si="10"/>
        <v>0</v>
      </c>
      <c r="AD131" s="7">
        <f t="shared" si="11"/>
        <v>11929.58064516129</v>
      </c>
    </row>
    <row r="132" spans="1:30" x14ac:dyDescent="0.3">
      <c r="A132" s="2">
        <v>43770</v>
      </c>
      <c r="B132" s="10">
        <f t="shared" si="8"/>
        <v>30</v>
      </c>
      <c r="C132" s="7">
        <v>815</v>
      </c>
      <c r="D132" s="7">
        <v>32</v>
      </c>
      <c r="E132" s="7">
        <v>450193</v>
      </c>
      <c r="F132" s="7">
        <v>0</v>
      </c>
      <c r="G132" s="7">
        <v>0</v>
      </c>
      <c r="H132" s="7">
        <v>389642</v>
      </c>
      <c r="I132" s="7">
        <v>49911</v>
      </c>
      <c r="J132" s="7">
        <v>10640</v>
      </c>
      <c r="K132" s="8">
        <v>604</v>
      </c>
      <c r="L132" s="8">
        <v>24</v>
      </c>
      <c r="M132" s="8">
        <v>340065</v>
      </c>
      <c r="N132" s="8">
        <v>0</v>
      </c>
      <c r="O132" s="8">
        <v>0</v>
      </c>
      <c r="P132" s="8">
        <v>296438</v>
      </c>
      <c r="Q132" s="8">
        <v>34457</v>
      </c>
      <c r="R132" s="8">
        <v>9170</v>
      </c>
      <c r="S132" s="9">
        <v>211</v>
      </c>
      <c r="T132" s="9">
        <v>8</v>
      </c>
      <c r="U132" s="9">
        <v>110128</v>
      </c>
      <c r="V132" s="9">
        <v>0</v>
      </c>
      <c r="W132" s="9">
        <v>0</v>
      </c>
      <c r="X132" s="9">
        <v>93204</v>
      </c>
      <c r="Y132" s="9">
        <v>15454</v>
      </c>
      <c r="Z132" s="9">
        <v>1470</v>
      </c>
      <c r="AB132" s="7">
        <f t="shared" si="9"/>
        <v>15006.433333333332</v>
      </c>
      <c r="AC132" s="7">
        <f t="shared" si="10"/>
        <v>0</v>
      </c>
      <c r="AD132" s="7">
        <f t="shared" si="11"/>
        <v>12988.066666666668</v>
      </c>
    </row>
    <row r="133" spans="1:30" x14ac:dyDescent="0.3">
      <c r="A133" s="2">
        <v>43800</v>
      </c>
      <c r="B133" s="10">
        <f t="shared" si="8"/>
        <v>31</v>
      </c>
      <c r="C133" s="7">
        <v>828</v>
      </c>
      <c r="D133" s="7">
        <v>36</v>
      </c>
      <c r="E133" s="7">
        <v>515128</v>
      </c>
      <c r="F133" s="7">
        <v>0</v>
      </c>
      <c r="G133" s="7">
        <v>0</v>
      </c>
      <c r="H133" s="7">
        <v>449831</v>
      </c>
      <c r="I133" s="7">
        <v>51232</v>
      </c>
      <c r="J133" s="7">
        <v>14065</v>
      </c>
      <c r="K133" s="8">
        <v>619</v>
      </c>
      <c r="L133" s="8">
        <v>30</v>
      </c>
      <c r="M133" s="8">
        <v>408628</v>
      </c>
      <c r="N133" s="8">
        <v>0</v>
      </c>
      <c r="O133" s="8">
        <v>0</v>
      </c>
      <c r="P133" s="8">
        <v>362162</v>
      </c>
      <c r="Q133" s="8">
        <v>34366</v>
      </c>
      <c r="R133" s="8">
        <v>12100</v>
      </c>
      <c r="S133" s="9">
        <v>209</v>
      </c>
      <c r="T133" s="9">
        <v>6</v>
      </c>
      <c r="U133" s="9">
        <v>106500</v>
      </c>
      <c r="V133" s="9">
        <v>0</v>
      </c>
      <c r="W133" s="9">
        <v>0</v>
      </c>
      <c r="X133" s="9">
        <v>87669</v>
      </c>
      <c r="Y133" s="9">
        <v>16866</v>
      </c>
      <c r="Z133" s="9">
        <v>1965</v>
      </c>
      <c r="AB133" s="7">
        <f t="shared" si="9"/>
        <v>16617.032258064515</v>
      </c>
      <c r="AC133" s="7">
        <f t="shared" si="10"/>
        <v>0</v>
      </c>
      <c r="AD133" s="7">
        <f t="shared" si="11"/>
        <v>14510.677419354839</v>
      </c>
    </row>
    <row r="134" spans="1:30" x14ac:dyDescent="0.3">
      <c r="A134" s="2">
        <v>43831</v>
      </c>
      <c r="B134" s="10">
        <f t="shared" si="8"/>
        <v>31</v>
      </c>
      <c r="C134" s="7">
        <v>725</v>
      </c>
      <c r="D134" s="7">
        <v>36</v>
      </c>
      <c r="E134" s="7">
        <v>477339</v>
      </c>
      <c r="F134" s="7">
        <v>0</v>
      </c>
      <c r="G134" s="7">
        <v>388307</v>
      </c>
      <c r="H134" s="7">
        <v>21426</v>
      </c>
      <c r="I134" s="7">
        <v>59308</v>
      </c>
      <c r="J134" s="7">
        <v>8298</v>
      </c>
      <c r="K134" s="8">
        <v>565</v>
      </c>
      <c r="L134" s="8">
        <v>29</v>
      </c>
      <c r="M134" s="8">
        <v>387655</v>
      </c>
      <c r="N134" s="8">
        <v>0</v>
      </c>
      <c r="O134" s="8">
        <v>323831</v>
      </c>
      <c r="P134" s="8">
        <v>16890</v>
      </c>
      <c r="Q134" s="8">
        <v>40407</v>
      </c>
      <c r="R134" s="8">
        <v>6527</v>
      </c>
      <c r="S134" s="9">
        <v>160</v>
      </c>
      <c r="T134" s="9">
        <v>7</v>
      </c>
      <c r="U134" s="9">
        <v>89684</v>
      </c>
      <c r="V134" s="9">
        <v>0</v>
      </c>
      <c r="W134" s="9">
        <v>64476</v>
      </c>
      <c r="X134" s="9">
        <v>4536</v>
      </c>
      <c r="Y134" s="9">
        <v>18901</v>
      </c>
      <c r="Z134" s="9">
        <v>1771</v>
      </c>
      <c r="AB134" s="7">
        <f t="shared" si="9"/>
        <v>15398.032258064517</v>
      </c>
      <c r="AC134" s="7">
        <f t="shared" si="10"/>
        <v>12526.032258064517</v>
      </c>
      <c r="AD134" s="7">
        <f t="shared" si="11"/>
        <v>691.16129032258061</v>
      </c>
    </row>
    <row r="135" spans="1:30" x14ac:dyDescent="0.3">
      <c r="A135" s="2">
        <v>43862</v>
      </c>
      <c r="B135" s="10">
        <f t="shared" si="8"/>
        <v>29</v>
      </c>
      <c r="C135" s="7">
        <v>613</v>
      </c>
      <c r="D135" s="7">
        <v>34</v>
      </c>
      <c r="E135" s="7">
        <v>442886</v>
      </c>
      <c r="F135" s="7">
        <v>0</v>
      </c>
      <c r="G135" s="7">
        <v>346742</v>
      </c>
      <c r="H135" s="7">
        <v>41089</v>
      </c>
      <c r="I135" s="7">
        <v>45648</v>
      </c>
      <c r="J135" s="7">
        <v>9407</v>
      </c>
      <c r="K135" s="8">
        <v>465</v>
      </c>
      <c r="L135" s="8">
        <v>26</v>
      </c>
      <c r="M135" s="8">
        <v>355577</v>
      </c>
      <c r="N135" s="8">
        <v>0</v>
      </c>
      <c r="O135" s="8">
        <v>280345</v>
      </c>
      <c r="P135" s="8">
        <v>33947</v>
      </c>
      <c r="Q135" s="8">
        <v>33610</v>
      </c>
      <c r="R135" s="8">
        <v>7675</v>
      </c>
      <c r="S135" s="9">
        <v>148</v>
      </c>
      <c r="T135" s="9">
        <v>8</v>
      </c>
      <c r="U135" s="9">
        <v>87309</v>
      </c>
      <c r="V135" s="9">
        <v>0</v>
      </c>
      <c r="W135" s="9">
        <v>66397</v>
      </c>
      <c r="X135" s="9">
        <v>7142</v>
      </c>
      <c r="Y135" s="9">
        <v>12038</v>
      </c>
      <c r="Z135" s="9">
        <v>1732</v>
      </c>
      <c r="AB135" s="7">
        <f t="shared" si="9"/>
        <v>15271.931034482759</v>
      </c>
      <c r="AC135" s="7">
        <f t="shared" si="10"/>
        <v>11956.620689655172</v>
      </c>
      <c r="AD135" s="7">
        <f t="shared" si="11"/>
        <v>1416.8620689655172</v>
      </c>
    </row>
    <row r="136" spans="1:30" x14ac:dyDescent="0.3">
      <c r="A136" s="2">
        <v>43891</v>
      </c>
      <c r="B136" s="10">
        <f t="shared" si="8"/>
        <v>31</v>
      </c>
      <c r="C136" s="7">
        <v>644</v>
      </c>
      <c r="D136" s="7">
        <v>35</v>
      </c>
      <c r="E136" s="7">
        <v>448093</v>
      </c>
      <c r="F136" s="7">
        <v>0</v>
      </c>
      <c r="G136" s="7">
        <v>353436</v>
      </c>
      <c r="H136" s="7">
        <v>34760</v>
      </c>
      <c r="I136" s="7">
        <v>50667</v>
      </c>
      <c r="J136" s="7">
        <v>9230</v>
      </c>
      <c r="K136" s="8">
        <v>505</v>
      </c>
      <c r="L136" s="8">
        <v>28</v>
      </c>
      <c r="M136" s="8">
        <v>369486</v>
      </c>
      <c r="N136" s="8">
        <v>0</v>
      </c>
      <c r="O136" s="8">
        <v>295797</v>
      </c>
      <c r="P136" s="8">
        <v>25440</v>
      </c>
      <c r="Q136" s="8">
        <v>40369</v>
      </c>
      <c r="R136" s="8">
        <v>7880</v>
      </c>
      <c r="S136" s="9">
        <v>139</v>
      </c>
      <c r="T136" s="9">
        <v>7</v>
      </c>
      <c r="U136" s="9">
        <v>78607</v>
      </c>
      <c r="V136" s="9">
        <v>0</v>
      </c>
      <c r="W136" s="9">
        <v>57639</v>
      </c>
      <c r="X136" s="9">
        <v>9320</v>
      </c>
      <c r="Y136" s="9">
        <v>10298</v>
      </c>
      <c r="Z136" s="9">
        <v>1350</v>
      </c>
      <c r="AB136" s="7">
        <f t="shared" si="9"/>
        <v>14454.612903225807</v>
      </c>
      <c r="AC136" s="7">
        <f t="shared" si="10"/>
        <v>11401.161290322581</v>
      </c>
      <c r="AD136" s="7">
        <f t="shared" si="11"/>
        <v>1121.2903225806451</v>
      </c>
    </row>
    <row r="137" spans="1:30" x14ac:dyDescent="0.3">
      <c r="A137" s="2">
        <v>43922</v>
      </c>
      <c r="B137" s="10">
        <f t="shared" si="8"/>
        <v>30</v>
      </c>
      <c r="C137" s="7">
        <v>569</v>
      </c>
      <c r="D137" s="7">
        <v>37</v>
      </c>
      <c r="E137" s="7">
        <v>415222</v>
      </c>
      <c r="F137" s="7">
        <v>0</v>
      </c>
      <c r="G137" s="7">
        <v>329456</v>
      </c>
      <c r="H137" s="7">
        <v>31332</v>
      </c>
      <c r="I137" s="7">
        <v>46816</v>
      </c>
      <c r="J137" s="7">
        <v>7618</v>
      </c>
      <c r="K137" s="8">
        <v>461</v>
      </c>
      <c r="L137" s="8">
        <v>30</v>
      </c>
      <c r="M137" s="8">
        <v>350284</v>
      </c>
      <c r="N137" s="8">
        <v>0</v>
      </c>
      <c r="O137" s="8">
        <v>282481</v>
      </c>
      <c r="P137" s="8">
        <v>21316</v>
      </c>
      <c r="Q137" s="8">
        <v>39972</v>
      </c>
      <c r="R137" s="8">
        <v>6515</v>
      </c>
      <c r="S137" s="9">
        <v>108</v>
      </c>
      <c r="T137" s="9">
        <v>7</v>
      </c>
      <c r="U137" s="9">
        <v>64938</v>
      </c>
      <c r="V137" s="9">
        <v>0</v>
      </c>
      <c r="W137" s="9">
        <v>46975</v>
      </c>
      <c r="X137" s="9">
        <v>10016</v>
      </c>
      <c r="Y137" s="9">
        <v>6844</v>
      </c>
      <c r="Z137" s="9">
        <v>1103</v>
      </c>
      <c r="AB137" s="7">
        <f t="shared" si="9"/>
        <v>13840.733333333334</v>
      </c>
      <c r="AC137" s="7">
        <f t="shared" si="10"/>
        <v>10981.866666666667</v>
      </c>
      <c r="AD137" s="7">
        <f t="shared" si="11"/>
        <v>1044.4000000000001</v>
      </c>
    </row>
    <row r="138" spans="1:30" x14ac:dyDescent="0.3">
      <c r="A138" s="2">
        <v>43952</v>
      </c>
      <c r="B138" s="10">
        <f t="shared" si="8"/>
        <v>31</v>
      </c>
      <c r="C138" s="7">
        <v>540</v>
      </c>
      <c r="D138" s="7">
        <v>37</v>
      </c>
      <c r="E138" s="7">
        <v>386955</v>
      </c>
      <c r="F138" s="7">
        <v>0</v>
      </c>
      <c r="G138" s="7">
        <v>305568</v>
      </c>
      <c r="H138" s="7">
        <v>33418</v>
      </c>
      <c r="I138" s="7">
        <v>14056</v>
      </c>
      <c r="J138" s="7">
        <v>33913</v>
      </c>
      <c r="K138" s="8">
        <v>445</v>
      </c>
      <c r="L138" s="8">
        <v>30</v>
      </c>
      <c r="M138" s="8">
        <v>331754</v>
      </c>
      <c r="N138" s="8">
        <v>0</v>
      </c>
      <c r="O138" s="8">
        <v>267361</v>
      </c>
      <c r="P138" s="8">
        <v>26905</v>
      </c>
      <c r="Q138" s="8">
        <v>13586</v>
      </c>
      <c r="R138" s="8">
        <v>23902</v>
      </c>
      <c r="S138" s="9">
        <v>95</v>
      </c>
      <c r="T138" s="9">
        <v>7</v>
      </c>
      <c r="U138" s="9">
        <v>55201</v>
      </c>
      <c r="V138" s="9">
        <v>0</v>
      </c>
      <c r="W138" s="9">
        <v>38207</v>
      </c>
      <c r="X138" s="9">
        <v>6513</v>
      </c>
      <c r="Y138" s="9">
        <v>470</v>
      </c>
      <c r="Z138" s="9">
        <v>10011</v>
      </c>
      <c r="AB138" s="7">
        <f t="shared" si="9"/>
        <v>12482.41935483871</v>
      </c>
      <c r="AC138" s="7">
        <f t="shared" si="10"/>
        <v>9857.032258064517</v>
      </c>
      <c r="AD138" s="7">
        <f t="shared" si="11"/>
        <v>1078</v>
      </c>
    </row>
    <row r="139" spans="1:30" x14ac:dyDescent="0.3">
      <c r="A139" s="2">
        <v>43983</v>
      </c>
      <c r="B139" s="10">
        <f t="shared" si="8"/>
        <v>30</v>
      </c>
      <c r="C139" s="7">
        <v>449</v>
      </c>
      <c r="D139" s="7">
        <v>37</v>
      </c>
      <c r="E139" s="7">
        <v>302330</v>
      </c>
      <c r="F139" s="7">
        <v>0</v>
      </c>
      <c r="G139" s="7">
        <v>228563</v>
      </c>
      <c r="H139" s="7">
        <v>36963</v>
      </c>
      <c r="I139" s="7">
        <v>6666</v>
      </c>
      <c r="J139" s="7">
        <v>30138</v>
      </c>
      <c r="K139" s="8">
        <v>364</v>
      </c>
      <c r="L139" s="8">
        <v>30</v>
      </c>
      <c r="M139" s="8">
        <v>260668</v>
      </c>
      <c r="N139" s="8">
        <v>0</v>
      </c>
      <c r="O139" s="8">
        <v>200783</v>
      </c>
      <c r="P139" s="8">
        <v>33319</v>
      </c>
      <c r="Q139" s="8">
        <v>6170</v>
      </c>
      <c r="R139" s="8">
        <v>20396</v>
      </c>
      <c r="S139" s="9">
        <v>85</v>
      </c>
      <c r="T139" s="9">
        <v>7</v>
      </c>
      <c r="U139" s="9">
        <v>41662</v>
      </c>
      <c r="V139" s="9">
        <v>0</v>
      </c>
      <c r="W139" s="9">
        <v>27780</v>
      </c>
      <c r="X139" s="9">
        <v>3644</v>
      </c>
      <c r="Y139" s="9">
        <v>496</v>
      </c>
      <c r="Z139" s="9">
        <v>9742</v>
      </c>
      <c r="AB139" s="7">
        <f t="shared" si="9"/>
        <v>10077.666666666666</v>
      </c>
      <c r="AC139" s="7">
        <f t="shared" si="10"/>
        <v>7618.7666666666664</v>
      </c>
      <c r="AD139" s="7">
        <f t="shared" si="11"/>
        <v>1232.0999999999999</v>
      </c>
    </row>
    <row r="140" spans="1:30" x14ac:dyDescent="0.3">
      <c r="A140" s="2">
        <v>44013</v>
      </c>
      <c r="B140" s="10">
        <f t="shared" si="8"/>
        <v>31</v>
      </c>
      <c r="C140" s="7">
        <v>473</v>
      </c>
      <c r="D140" s="7">
        <v>37</v>
      </c>
      <c r="E140" s="7">
        <v>337035</v>
      </c>
      <c r="F140" s="7">
        <v>0</v>
      </c>
      <c r="G140" s="7">
        <v>258429</v>
      </c>
      <c r="H140" s="7">
        <v>42036</v>
      </c>
      <c r="I140" s="7">
        <v>10218</v>
      </c>
      <c r="J140" s="7">
        <v>26352</v>
      </c>
      <c r="K140" s="8">
        <v>386</v>
      </c>
      <c r="L140" s="8">
        <v>30</v>
      </c>
      <c r="M140" s="8">
        <v>289268</v>
      </c>
      <c r="N140" s="8">
        <v>0</v>
      </c>
      <c r="O140" s="8">
        <v>221020</v>
      </c>
      <c r="P140" s="8">
        <v>38997</v>
      </c>
      <c r="Q140" s="8">
        <v>9648</v>
      </c>
      <c r="R140" s="8">
        <v>19603</v>
      </c>
      <c r="S140" s="9">
        <v>87</v>
      </c>
      <c r="T140" s="9">
        <v>7</v>
      </c>
      <c r="U140" s="9">
        <v>47767</v>
      </c>
      <c r="V140" s="9">
        <v>0</v>
      </c>
      <c r="W140" s="9">
        <v>37409</v>
      </c>
      <c r="X140" s="9">
        <v>3039</v>
      </c>
      <c r="Y140" s="9">
        <v>570</v>
      </c>
      <c r="Z140" s="9">
        <v>6749</v>
      </c>
      <c r="AB140" s="7">
        <f t="shared" si="9"/>
        <v>10872.096774193549</v>
      </c>
      <c r="AC140" s="7">
        <f t="shared" si="10"/>
        <v>8336.4193548387102</v>
      </c>
      <c r="AD140" s="7">
        <f t="shared" si="11"/>
        <v>1356</v>
      </c>
    </row>
    <row r="141" spans="1:30" x14ac:dyDescent="0.3">
      <c r="A141" s="2">
        <v>44044</v>
      </c>
      <c r="B141" s="10">
        <f t="shared" si="8"/>
        <v>31</v>
      </c>
      <c r="C141" s="7">
        <v>506</v>
      </c>
      <c r="D141" s="7">
        <v>32</v>
      </c>
      <c r="E141" s="7">
        <v>372055</v>
      </c>
      <c r="F141" s="7">
        <v>0</v>
      </c>
      <c r="G141" s="7">
        <v>270190</v>
      </c>
      <c r="H141" s="7">
        <v>59251</v>
      </c>
      <c r="I141" s="7">
        <v>11339</v>
      </c>
      <c r="J141" s="7">
        <v>31275</v>
      </c>
      <c r="K141" s="8">
        <v>402</v>
      </c>
      <c r="L141" s="8">
        <v>25</v>
      </c>
      <c r="M141" s="8">
        <v>305976</v>
      </c>
      <c r="N141" s="8">
        <v>0</v>
      </c>
      <c r="O141" s="8">
        <v>224912</v>
      </c>
      <c r="P141" s="8">
        <v>49196</v>
      </c>
      <c r="Q141" s="8">
        <v>9994</v>
      </c>
      <c r="R141" s="8">
        <v>21874</v>
      </c>
      <c r="S141" s="9">
        <v>104</v>
      </c>
      <c r="T141" s="9">
        <v>7</v>
      </c>
      <c r="U141" s="9">
        <v>66079</v>
      </c>
      <c r="V141" s="9">
        <v>0</v>
      </c>
      <c r="W141" s="9">
        <v>45278</v>
      </c>
      <c r="X141" s="9">
        <v>10055</v>
      </c>
      <c r="Y141" s="9">
        <v>1345</v>
      </c>
      <c r="Z141" s="9">
        <v>9401</v>
      </c>
      <c r="AB141" s="7">
        <f t="shared" si="9"/>
        <v>12001.774193548386</v>
      </c>
      <c r="AC141" s="7">
        <f t="shared" si="10"/>
        <v>8715.8064516129034</v>
      </c>
      <c r="AD141" s="7">
        <f t="shared" si="11"/>
        <v>1911.3225806451612</v>
      </c>
    </row>
    <row r="142" spans="1:30" x14ac:dyDescent="0.3">
      <c r="A142" s="2">
        <v>44075</v>
      </c>
      <c r="B142" s="10">
        <f t="shared" si="8"/>
        <v>30</v>
      </c>
      <c r="C142" s="7">
        <v>497</v>
      </c>
      <c r="D142" s="7">
        <v>33</v>
      </c>
      <c r="E142" s="7">
        <v>375126</v>
      </c>
      <c r="F142" s="7">
        <v>0</v>
      </c>
      <c r="G142" s="7">
        <v>280910</v>
      </c>
      <c r="H142" s="7">
        <v>57068</v>
      </c>
      <c r="I142" s="7">
        <v>8954</v>
      </c>
      <c r="J142" s="7">
        <v>28194</v>
      </c>
      <c r="K142" s="8">
        <v>395</v>
      </c>
      <c r="L142" s="8">
        <v>26</v>
      </c>
      <c r="M142" s="8">
        <v>316484</v>
      </c>
      <c r="N142" s="8">
        <v>0</v>
      </c>
      <c r="O142" s="8">
        <v>235899</v>
      </c>
      <c r="P142" s="8">
        <v>51880</v>
      </c>
      <c r="Q142" s="8">
        <v>8954</v>
      </c>
      <c r="R142" s="8">
        <v>19751</v>
      </c>
      <c r="S142" s="9">
        <v>102</v>
      </c>
      <c r="T142" s="9">
        <v>7</v>
      </c>
      <c r="U142" s="9">
        <v>58642</v>
      </c>
      <c r="V142" s="9">
        <v>0</v>
      </c>
      <c r="W142" s="9">
        <v>45011</v>
      </c>
      <c r="X142" s="9">
        <v>5188</v>
      </c>
      <c r="Y142" s="9">
        <v>0</v>
      </c>
      <c r="Z142" s="9">
        <v>8443</v>
      </c>
      <c r="AB142" s="7">
        <f t="shared" si="9"/>
        <v>12504.2</v>
      </c>
      <c r="AC142" s="7">
        <f t="shared" si="10"/>
        <v>9363.6666666666661</v>
      </c>
      <c r="AD142" s="7">
        <f t="shared" si="11"/>
        <v>1902.2666666666667</v>
      </c>
    </row>
    <row r="143" spans="1:30" x14ac:dyDescent="0.3">
      <c r="A143" s="2">
        <v>44105</v>
      </c>
      <c r="B143" s="10">
        <f t="shared" si="8"/>
        <v>31</v>
      </c>
      <c r="C143" s="7">
        <v>566</v>
      </c>
      <c r="D143" s="7">
        <v>31</v>
      </c>
      <c r="E143" s="7">
        <v>412622</v>
      </c>
      <c r="F143" s="7">
        <v>0</v>
      </c>
      <c r="G143" s="7">
        <v>314731</v>
      </c>
      <c r="H143" s="7">
        <v>56200</v>
      </c>
      <c r="I143" s="7">
        <v>9955</v>
      </c>
      <c r="J143" s="7">
        <v>31736</v>
      </c>
      <c r="K143" s="8">
        <v>458</v>
      </c>
      <c r="L143" s="8">
        <v>27</v>
      </c>
      <c r="M143" s="8">
        <v>359257</v>
      </c>
      <c r="N143" s="8">
        <v>0</v>
      </c>
      <c r="O143" s="8">
        <v>274865</v>
      </c>
      <c r="P143" s="8">
        <v>50305</v>
      </c>
      <c r="Q143" s="8">
        <v>9955</v>
      </c>
      <c r="R143" s="8">
        <v>24132</v>
      </c>
      <c r="S143" s="9">
        <v>108</v>
      </c>
      <c r="T143" s="9">
        <v>4</v>
      </c>
      <c r="U143" s="9">
        <v>53365</v>
      </c>
      <c r="V143" s="9">
        <v>0</v>
      </c>
      <c r="W143" s="9">
        <v>39866</v>
      </c>
      <c r="X143" s="9">
        <v>5895</v>
      </c>
      <c r="Y143" s="9">
        <v>0</v>
      </c>
      <c r="Z143" s="9">
        <v>7604</v>
      </c>
      <c r="AB143" s="7">
        <f t="shared" si="9"/>
        <v>13310.387096774193</v>
      </c>
      <c r="AC143" s="7">
        <f t="shared" si="10"/>
        <v>10152.612903225807</v>
      </c>
      <c r="AD143" s="7">
        <f t="shared" si="11"/>
        <v>1812.9032258064517</v>
      </c>
    </row>
    <row r="144" spans="1:30" x14ac:dyDescent="0.3">
      <c r="A144" s="2">
        <v>44136</v>
      </c>
      <c r="B144" s="10">
        <f t="shared" si="8"/>
        <v>30</v>
      </c>
      <c r="C144" s="7">
        <v>492</v>
      </c>
      <c r="D144" s="7">
        <v>33</v>
      </c>
      <c r="E144" s="7">
        <v>363735</v>
      </c>
      <c r="F144" s="7">
        <v>0</v>
      </c>
      <c r="G144" s="7">
        <v>259992</v>
      </c>
      <c r="H144" s="7">
        <v>64915</v>
      </c>
      <c r="I144" s="7">
        <v>10132</v>
      </c>
      <c r="J144" s="7">
        <v>28696</v>
      </c>
      <c r="K144" s="8">
        <v>390</v>
      </c>
      <c r="L144" s="8">
        <v>28</v>
      </c>
      <c r="M144" s="8">
        <v>313156</v>
      </c>
      <c r="N144" s="8">
        <v>0</v>
      </c>
      <c r="O144" s="8">
        <v>220385</v>
      </c>
      <c r="P144" s="8">
        <v>61126</v>
      </c>
      <c r="Q144" s="8">
        <v>10132</v>
      </c>
      <c r="R144" s="8">
        <v>21513</v>
      </c>
      <c r="S144" s="9">
        <v>102</v>
      </c>
      <c r="T144" s="9">
        <v>5</v>
      </c>
      <c r="U144" s="9">
        <v>50579</v>
      </c>
      <c r="V144" s="9">
        <v>0</v>
      </c>
      <c r="W144" s="9">
        <v>39607</v>
      </c>
      <c r="X144" s="9">
        <v>3789</v>
      </c>
      <c r="Y144" s="9">
        <v>0</v>
      </c>
      <c r="Z144" s="9">
        <v>7183</v>
      </c>
      <c r="AB144" s="7">
        <f t="shared" si="9"/>
        <v>12124.5</v>
      </c>
      <c r="AC144" s="7">
        <f t="shared" si="10"/>
        <v>8666.4</v>
      </c>
      <c r="AD144" s="7">
        <f t="shared" si="11"/>
        <v>2163.8333333333335</v>
      </c>
    </row>
    <row r="145" spans="1:30" x14ac:dyDescent="0.3">
      <c r="A145" s="2">
        <v>44166</v>
      </c>
      <c r="B145" s="10">
        <f t="shared" si="8"/>
        <v>31</v>
      </c>
      <c r="C145" s="7">
        <v>552</v>
      </c>
      <c r="D145" s="7">
        <v>33</v>
      </c>
      <c r="E145" s="7">
        <v>413230</v>
      </c>
      <c r="F145" s="7">
        <v>0</v>
      </c>
      <c r="G145" s="7">
        <v>296006</v>
      </c>
      <c r="H145" s="7">
        <v>74762</v>
      </c>
      <c r="I145" s="7">
        <v>12134</v>
      </c>
      <c r="J145" s="7">
        <v>30328</v>
      </c>
      <c r="K145" s="8">
        <v>429</v>
      </c>
      <c r="L145" s="8">
        <v>28</v>
      </c>
      <c r="M145" s="8">
        <v>341994</v>
      </c>
      <c r="N145" s="8">
        <v>0</v>
      </c>
      <c r="O145" s="8">
        <v>244330</v>
      </c>
      <c r="P145" s="8">
        <v>64052</v>
      </c>
      <c r="Q145" s="8">
        <v>12134</v>
      </c>
      <c r="R145" s="8">
        <v>21478</v>
      </c>
      <c r="S145" s="9">
        <v>123</v>
      </c>
      <c r="T145" s="9">
        <v>5</v>
      </c>
      <c r="U145" s="9">
        <v>71236</v>
      </c>
      <c r="V145" s="9">
        <v>0</v>
      </c>
      <c r="W145" s="9">
        <v>51676</v>
      </c>
      <c r="X145" s="9">
        <v>10710</v>
      </c>
      <c r="Y145" s="9">
        <v>0</v>
      </c>
      <c r="Z145" s="9">
        <v>8850</v>
      </c>
      <c r="AB145" s="7">
        <f t="shared" si="9"/>
        <v>13330</v>
      </c>
      <c r="AC145" s="7">
        <f t="shared" si="10"/>
        <v>9548.5806451612898</v>
      </c>
      <c r="AD145" s="7">
        <f t="shared" si="11"/>
        <v>2411.6774193548385</v>
      </c>
    </row>
    <row r="146" spans="1:30" x14ac:dyDescent="0.3">
      <c r="A146" s="2">
        <v>44197</v>
      </c>
      <c r="B146" s="10">
        <f t="shared" si="8"/>
        <v>31</v>
      </c>
      <c r="C146" s="7">
        <v>564</v>
      </c>
      <c r="D146" s="7">
        <v>34</v>
      </c>
      <c r="E146" s="7">
        <v>413650</v>
      </c>
      <c r="F146" s="7">
        <v>0</v>
      </c>
      <c r="G146" s="7">
        <v>292548</v>
      </c>
      <c r="H146" s="7">
        <v>70597</v>
      </c>
      <c r="I146" s="7">
        <v>12216</v>
      </c>
      <c r="J146" s="7">
        <v>38289</v>
      </c>
      <c r="K146" s="8">
        <v>448</v>
      </c>
      <c r="L146" s="8">
        <v>28</v>
      </c>
      <c r="M146" s="8">
        <v>348417</v>
      </c>
      <c r="N146" s="8">
        <v>0</v>
      </c>
      <c r="O146" s="8">
        <v>249142</v>
      </c>
      <c r="P146" s="8">
        <v>60368</v>
      </c>
      <c r="Q146" s="8">
        <v>12216</v>
      </c>
      <c r="R146" s="8">
        <v>26691</v>
      </c>
      <c r="S146" s="9">
        <v>116</v>
      </c>
      <c r="T146" s="9">
        <v>6</v>
      </c>
      <c r="U146" s="9">
        <v>65233</v>
      </c>
      <c r="V146" s="9">
        <v>0</v>
      </c>
      <c r="W146" s="9">
        <v>43406</v>
      </c>
      <c r="X146" s="9">
        <v>10229</v>
      </c>
      <c r="Y146" s="9">
        <v>0</v>
      </c>
      <c r="Z146" s="9">
        <v>11598</v>
      </c>
      <c r="AB146" s="7">
        <f t="shared" si="9"/>
        <v>13343.548387096775</v>
      </c>
      <c r="AC146" s="7">
        <f t="shared" si="10"/>
        <v>9437.032258064517</v>
      </c>
      <c r="AD146" s="7">
        <f t="shared" si="11"/>
        <v>2277.3225806451615</v>
      </c>
    </row>
    <row r="147" spans="1:30" x14ac:dyDescent="0.3">
      <c r="A147" s="2">
        <v>44228</v>
      </c>
      <c r="B147" s="10">
        <f t="shared" si="8"/>
        <v>28</v>
      </c>
      <c r="C147" s="7">
        <v>535</v>
      </c>
      <c r="D147" s="7">
        <v>30</v>
      </c>
      <c r="E147" s="7">
        <v>418415</v>
      </c>
      <c r="F147" s="7">
        <v>0</v>
      </c>
      <c r="G147" s="7">
        <v>302619</v>
      </c>
      <c r="H147" s="7">
        <v>73294</v>
      </c>
      <c r="I147" s="7">
        <v>10880</v>
      </c>
      <c r="J147" s="7">
        <v>31622</v>
      </c>
      <c r="K147" s="8">
        <v>459</v>
      </c>
      <c r="L147" s="8">
        <v>27</v>
      </c>
      <c r="M147" s="8">
        <v>373698</v>
      </c>
      <c r="N147" s="8">
        <v>0</v>
      </c>
      <c r="O147" s="8">
        <v>267513</v>
      </c>
      <c r="P147" s="8">
        <v>68726</v>
      </c>
      <c r="Q147" s="8">
        <v>10880</v>
      </c>
      <c r="R147" s="8">
        <v>26579</v>
      </c>
      <c r="S147" s="9">
        <v>76</v>
      </c>
      <c r="T147" s="9">
        <v>3</v>
      </c>
      <c r="U147" s="9">
        <v>44717</v>
      </c>
      <c r="V147" s="9">
        <v>0</v>
      </c>
      <c r="W147" s="9">
        <v>35106</v>
      </c>
      <c r="X147" s="9">
        <v>4568</v>
      </c>
      <c r="Y147" s="9">
        <v>0</v>
      </c>
      <c r="Z147" s="9">
        <v>5043</v>
      </c>
      <c r="AB147" s="7">
        <f t="shared" si="9"/>
        <v>14943.392857142857</v>
      </c>
      <c r="AC147" s="7">
        <f t="shared" si="10"/>
        <v>10807.821428571429</v>
      </c>
      <c r="AD147" s="7">
        <f t="shared" si="11"/>
        <v>2617.6428571428573</v>
      </c>
    </row>
    <row r="148" spans="1:30" x14ac:dyDescent="0.3">
      <c r="A148" s="2">
        <v>44256</v>
      </c>
      <c r="B148" s="10">
        <f t="shared" si="8"/>
        <v>31</v>
      </c>
      <c r="C148" s="7">
        <v>591</v>
      </c>
      <c r="D148" s="7">
        <v>35</v>
      </c>
      <c r="E148" s="7">
        <v>442026</v>
      </c>
      <c r="F148" s="7">
        <v>0</v>
      </c>
      <c r="G148" s="7">
        <v>317478</v>
      </c>
      <c r="H148" s="7">
        <v>79569</v>
      </c>
      <c r="I148" s="7">
        <v>10692</v>
      </c>
      <c r="J148" s="7">
        <v>34287</v>
      </c>
      <c r="K148" s="8">
        <v>516</v>
      </c>
      <c r="L148" s="8">
        <v>29</v>
      </c>
      <c r="M148" s="8">
        <v>393215</v>
      </c>
      <c r="N148" s="8">
        <v>0</v>
      </c>
      <c r="O148" s="8">
        <v>281308</v>
      </c>
      <c r="P148" s="8">
        <v>75189</v>
      </c>
      <c r="Q148" s="8">
        <v>10692</v>
      </c>
      <c r="R148" s="8">
        <v>26026</v>
      </c>
      <c r="S148" s="9">
        <v>75</v>
      </c>
      <c r="T148" s="9">
        <v>6</v>
      </c>
      <c r="U148" s="9">
        <v>48811</v>
      </c>
      <c r="V148" s="9">
        <v>0</v>
      </c>
      <c r="W148" s="9">
        <v>36170</v>
      </c>
      <c r="X148" s="9">
        <v>4380</v>
      </c>
      <c r="Y148" s="9">
        <v>0</v>
      </c>
      <c r="Z148" s="9">
        <v>8261</v>
      </c>
      <c r="AB148" s="7">
        <f t="shared" si="9"/>
        <v>14258.903225806451</v>
      </c>
      <c r="AC148" s="7">
        <f t="shared" si="10"/>
        <v>10241.225806451614</v>
      </c>
      <c r="AD148" s="7">
        <f t="shared" si="11"/>
        <v>2566.7419354838707</v>
      </c>
    </row>
    <row r="149" spans="1:30" x14ac:dyDescent="0.3">
      <c r="A149" s="2">
        <v>44287</v>
      </c>
      <c r="B149" s="10">
        <f t="shared" si="8"/>
        <v>30</v>
      </c>
      <c r="C149" s="7">
        <v>568</v>
      </c>
      <c r="D149" s="7">
        <v>35</v>
      </c>
      <c r="E149" s="7">
        <v>417305</v>
      </c>
      <c r="F149" s="7">
        <v>0</v>
      </c>
      <c r="G149" s="7">
        <v>303311</v>
      </c>
      <c r="H149" s="7">
        <v>68049</v>
      </c>
      <c r="I149" s="7">
        <v>14514</v>
      </c>
      <c r="J149" s="7">
        <v>31431</v>
      </c>
      <c r="K149" s="8">
        <v>447</v>
      </c>
      <c r="L149" s="8">
        <v>28</v>
      </c>
      <c r="M149" s="8">
        <v>345904</v>
      </c>
      <c r="N149" s="8">
        <v>0</v>
      </c>
      <c r="O149" s="8">
        <v>249052</v>
      </c>
      <c r="P149" s="8">
        <v>61739</v>
      </c>
      <c r="Q149" s="8">
        <v>11858</v>
      </c>
      <c r="R149" s="8">
        <v>23255</v>
      </c>
      <c r="S149" s="9">
        <v>121</v>
      </c>
      <c r="T149" s="9">
        <v>7</v>
      </c>
      <c r="U149" s="9">
        <v>71401</v>
      </c>
      <c r="V149" s="9">
        <v>0</v>
      </c>
      <c r="W149" s="9">
        <v>54259</v>
      </c>
      <c r="X149" s="9">
        <v>6310</v>
      </c>
      <c r="Y149" s="9">
        <v>2656</v>
      </c>
      <c r="Z149" s="9">
        <v>8176</v>
      </c>
      <c r="AB149" s="7">
        <f t="shared" si="9"/>
        <v>13910.166666666666</v>
      </c>
      <c r="AC149" s="7">
        <f t="shared" si="10"/>
        <v>10110.366666666667</v>
      </c>
      <c r="AD149" s="7">
        <f t="shared" si="11"/>
        <v>2268.3000000000002</v>
      </c>
    </row>
    <row r="150" spans="1:30" x14ac:dyDescent="0.3">
      <c r="A150" s="2">
        <v>44317</v>
      </c>
      <c r="B150" s="10">
        <f t="shared" si="8"/>
        <v>31</v>
      </c>
      <c r="C150" s="7">
        <v>565</v>
      </c>
      <c r="D150" s="7">
        <v>35</v>
      </c>
      <c r="E150" s="7">
        <v>417643</v>
      </c>
      <c r="F150" s="7">
        <v>0</v>
      </c>
      <c r="G150" s="7">
        <v>284365</v>
      </c>
      <c r="H150" s="7">
        <v>92569</v>
      </c>
      <c r="I150" s="7">
        <v>9692</v>
      </c>
      <c r="J150" s="7">
        <v>31017</v>
      </c>
      <c r="K150" s="8">
        <v>449</v>
      </c>
      <c r="L150" s="8">
        <v>30</v>
      </c>
      <c r="M150" s="8">
        <v>350392</v>
      </c>
      <c r="N150" s="8">
        <v>0</v>
      </c>
      <c r="O150" s="8">
        <v>242852</v>
      </c>
      <c r="P150" s="8">
        <v>73932</v>
      </c>
      <c r="Q150" s="8">
        <v>8760</v>
      </c>
      <c r="R150" s="8">
        <v>24848</v>
      </c>
      <c r="S150" s="9">
        <v>116</v>
      </c>
      <c r="T150" s="9">
        <v>5</v>
      </c>
      <c r="U150" s="9">
        <v>67251</v>
      </c>
      <c r="V150" s="9">
        <v>0</v>
      </c>
      <c r="W150" s="9">
        <v>41513</v>
      </c>
      <c r="X150" s="9">
        <v>18637</v>
      </c>
      <c r="Y150" s="9">
        <v>932</v>
      </c>
      <c r="Z150" s="9">
        <v>6169</v>
      </c>
      <c r="AB150" s="7">
        <f t="shared" si="9"/>
        <v>13472.354838709678</v>
      </c>
      <c r="AC150" s="7">
        <f t="shared" si="10"/>
        <v>9173.0645161290322</v>
      </c>
      <c r="AD150" s="7">
        <f t="shared" si="11"/>
        <v>2986.0967741935483</v>
      </c>
    </row>
    <row r="151" spans="1:30" x14ac:dyDescent="0.3">
      <c r="A151" s="2">
        <v>44348</v>
      </c>
      <c r="B151" s="10">
        <f t="shared" si="8"/>
        <v>30</v>
      </c>
      <c r="C151" s="7">
        <v>555</v>
      </c>
      <c r="D151" s="7">
        <v>31</v>
      </c>
      <c r="E151" s="7">
        <v>377153</v>
      </c>
      <c r="F151" s="7">
        <v>0</v>
      </c>
      <c r="G151" s="7">
        <v>283891</v>
      </c>
      <c r="H151" s="7">
        <v>48843</v>
      </c>
      <c r="I151" s="7">
        <v>9283</v>
      </c>
      <c r="J151" s="7">
        <v>35136</v>
      </c>
      <c r="K151" s="8">
        <v>429</v>
      </c>
      <c r="L151" s="8">
        <v>25</v>
      </c>
      <c r="M151" s="8">
        <v>311682</v>
      </c>
      <c r="N151" s="8">
        <v>0</v>
      </c>
      <c r="O151" s="8">
        <v>234215</v>
      </c>
      <c r="P151" s="8">
        <v>43617</v>
      </c>
      <c r="Q151" s="8">
        <v>5943</v>
      </c>
      <c r="R151" s="8">
        <v>27907</v>
      </c>
      <c r="S151" s="9">
        <v>126</v>
      </c>
      <c r="T151" s="9">
        <v>6</v>
      </c>
      <c r="U151" s="9">
        <v>65471</v>
      </c>
      <c r="V151" s="9">
        <v>0</v>
      </c>
      <c r="W151" s="9">
        <v>49676</v>
      </c>
      <c r="X151" s="9">
        <v>5226</v>
      </c>
      <c r="Y151" s="9">
        <v>3340</v>
      </c>
      <c r="Z151" s="9">
        <v>7229</v>
      </c>
      <c r="AB151" s="7">
        <f t="shared" si="9"/>
        <v>12571.766666666666</v>
      </c>
      <c r="AC151" s="7">
        <f t="shared" si="10"/>
        <v>9463.0333333333328</v>
      </c>
      <c r="AD151" s="7">
        <f t="shared" si="11"/>
        <v>1628.1</v>
      </c>
    </row>
    <row r="152" spans="1:30" x14ac:dyDescent="0.3">
      <c r="A152" s="2">
        <v>44378</v>
      </c>
      <c r="B152" s="10">
        <f t="shared" si="8"/>
        <v>31</v>
      </c>
      <c r="C152" s="7">
        <v>566</v>
      </c>
      <c r="D152" s="7">
        <v>37</v>
      </c>
      <c r="E152" s="7">
        <v>387218</v>
      </c>
      <c r="F152" s="7">
        <v>0</v>
      </c>
      <c r="G152" s="7">
        <v>275647</v>
      </c>
      <c r="H152" s="7">
        <v>64637</v>
      </c>
      <c r="I152" s="7">
        <v>15668</v>
      </c>
      <c r="J152" s="7">
        <v>31266</v>
      </c>
      <c r="K152" s="8">
        <v>457</v>
      </c>
      <c r="L152" s="8">
        <v>28</v>
      </c>
      <c r="M152" s="8">
        <v>322189</v>
      </c>
      <c r="N152" s="8">
        <v>0</v>
      </c>
      <c r="O152" s="8">
        <v>227377</v>
      </c>
      <c r="P152" s="8">
        <v>57723</v>
      </c>
      <c r="Q152" s="8">
        <v>12609</v>
      </c>
      <c r="R152" s="8">
        <v>24480</v>
      </c>
      <c r="S152" s="9">
        <v>109</v>
      </c>
      <c r="T152" s="9">
        <v>9</v>
      </c>
      <c r="U152" s="9">
        <v>65029</v>
      </c>
      <c r="V152" s="9">
        <v>0</v>
      </c>
      <c r="W152" s="9">
        <v>48270</v>
      </c>
      <c r="X152" s="9">
        <v>6914</v>
      </c>
      <c r="Y152" s="9">
        <v>3059</v>
      </c>
      <c r="Z152" s="9">
        <v>6786</v>
      </c>
      <c r="AB152" s="7">
        <f t="shared" si="9"/>
        <v>12490.903225806451</v>
      </c>
      <c r="AC152" s="7">
        <f t="shared" si="10"/>
        <v>8891.8387096774186</v>
      </c>
      <c r="AD152" s="7">
        <f t="shared" si="11"/>
        <v>2085.0645161290322</v>
      </c>
    </row>
    <row r="153" spans="1:30" x14ac:dyDescent="0.3">
      <c r="A153" s="2">
        <v>44409</v>
      </c>
      <c r="B153" s="10">
        <f t="shared" si="8"/>
        <v>31</v>
      </c>
      <c r="C153" s="7">
        <v>595</v>
      </c>
      <c r="D153" s="7">
        <v>33</v>
      </c>
      <c r="E153" s="7">
        <v>388640</v>
      </c>
      <c r="F153" s="7">
        <v>0</v>
      </c>
      <c r="G153" s="7">
        <v>264547</v>
      </c>
      <c r="H153" s="7">
        <v>78695</v>
      </c>
      <c r="I153" s="7">
        <v>8265</v>
      </c>
      <c r="J153" s="7">
        <v>37133</v>
      </c>
      <c r="K153" s="8">
        <v>478</v>
      </c>
      <c r="L153" s="8">
        <v>26</v>
      </c>
      <c r="M153" s="8">
        <v>323534</v>
      </c>
      <c r="N153" s="8">
        <v>0</v>
      </c>
      <c r="O153" s="8">
        <v>213581</v>
      </c>
      <c r="P153" s="8">
        <v>74695</v>
      </c>
      <c r="Q153" s="8">
        <v>5285</v>
      </c>
      <c r="R153" s="8">
        <v>29973</v>
      </c>
      <c r="S153" s="9">
        <v>117</v>
      </c>
      <c r="T153" s="9">
        <v>7</v>
      </c>
      <c r="U153" s="9">
        <v>65106</v>
      </c>
      <c r="V153" s="9">
        <v>0</v>
      </c>
      <c r="W153" s="9">
        <v>50966</v>
      </c>
      <c r="X153" s="9">
        <v>4000</v>
      </c>
      <c r="Y153" s="9">
        <v>2980</v>
      </c>
      <c r="Z153" s="9">
        <v>7160</v>
      </c>
      <c r="AB153" s="7">
        <f t="shared" si="9"/>
        <v>12536.774193548386</v>
      </c>
      <c r="AC153" s="7">
        <f t="shared" si="10"/>
        <v>8533.7741935483864</v>
      </c>
      <c r="AD153" s="7">
        <f t="shared" si="11"/>
        <v>2538.5483870967741</v>
      </c>
    </row>
    <row r="154" spans="1:30" x14ac:dyDescent="0.3">
      <c r="A154" s="2">
        <v>44440</v>
      </c>
      <c r="B154" s="10">
        <f t="shared" si="8"/>
        <v>30</v>
      </c>
      <c r="C154" s="7">
        <v>563</v>
      </c>
      <c r="D154" s="7">
        <v>32</v>
      </c>
      <c r="E154" s="7">
        <v>388027</v>
      </c>
      <c r="F154" s="7">
        <v>0</v>
      </c>
      <c r="G154" s="7">
        <v>283368</v>
      </c>
      <c r="H154" s="7">
        <v>66725</v>
      </c>
      <c r="I154" s="7">
        <v>10677</v>
      </c>
      <c r="J154" s="7">
        <v>27257</v>
      </c>
      <c r="K154" s="8">
        <v>451</v>
      </c>
      <c r="L154" s="8">
        <v>26</v>
      </c>
      <c r="M154" s="8">
        <v>326225</v>
      </c>
      <c r="N154" s="8">
        <v>0</v>
      </c>
      <c r="O154" s="8">
        <v>231357</v>
      </c>
      <c r="P154" s="8">
        <v>64644</v>
      </c>
      <c r="Q154" s="8">
        <v>8067</v>
      </c>
      <c r="R154" s="8">
        <v>22157</v>
      </c>
      <c r="S154" s="9">
        <v>112</v>
      </c>
      <c r="T154" s="9">
        <v>6</v>
      </c>
      <c r="U154" s="9">
        <v>61802</v>
      </c>
      <c r="V154" s="9">
        <v>0</v>
      </c>
      <c r="W154" s="9">
        <v>52011</v>
      </c>
      <c r="X154" s="9">
        <v>2081</v>
      </c>
      <c r="Y154" s="9">
        <v>2610</v>
      </c>
      <c r="Z154" s="9">
        <v>5100</v>
      </c>
      <c r="AB154" s="7">
        <f t="shared" si="9"/>
        <v>12934.233333333334</v>
      </c>
      <c r="AC154" s="7">
        <f t="shared" si="10"/>
        <v>9445.6</v>
      </c>
      <c r="AD154" s="7">
        <f t="shared" si="11"/>
        <v>2224.1666666666665</v>
      </c>
    </row>
    <row r="155" spans="1:30" x14ac:dyDescent="0.3">
      <c r="A155" s="2">
        <v>44470</v>
      </c>
      <c r="B155" s="10">
        <f t="shared" si="8"/>
        <v>31</v>
      </c>
      <c r="C155" s="7">
        <v>592</v>
      </c>
      <c r="D155" s="7">
        <v>33</v>
      </c>
      <c r="E155" s="7">
        <v>414442</v>
      </c>
      <c r="F155" s="7">
        <v>0</v>
      </c>
      <c r="G155" s="7">
        <v>256245</v>
      </c>
      <c r="H155" s="7">
        <v>95384</v>
      </c>
      <c r="I155" s="7">
        <v>24814</v>
      </c>
      <c r="J155" s="7">
        <v>37999</v>
      </c>
      <c r="K155" s="8">
        <v>493</v>
      </c>
      <c r="L155" s="8">
        <v>28</v>
      </c>
      <c r="M155" s="8">
        <v>366134</v>
      </c>
      <c r="N155" s="8">
        <v>0</v>
      </c>
      <c r="O155" s="8">
        <v>216721</v>
      </c>
      <c r="P155" s="8">
        <v>95384</v>
      </c>
      <c r="Q155" s="8">
        <v>19234</v>
      </c>
      <c r="R155" s="8">
        <v>34795</v>
      </c>
      <c r="S155" s="9">
        <v>99</v>
      </c>
      <c r="T155" s="9">
        <v>5</v>
      </c>
      <c r="U155" s="9">
        <v>48308</v>
      </c>
      <c r="V155" s="9">
        <v>0</v>
      </c>
      <c r="W155" s="9">
        <v>39524</v>
      </c>
      <c r="X155" s="9">
        <v>0</v>
      </c>
      <c r="Y155" s="9">
        <v>5580</v>
      </c>
      <c r="Z155" s="9">
        <v>3204</v>
      </c>
      <c r="AB155" s="7">
        <f t="shared" si="9"/>
        <v>13369.096774193549</v>
      </c>
      <c r="AC155" s="7">
        <f t="shared" si="10"/>
        <v>8265.967741935483</v>
      </c>
      <c r="AD155" s="7">
        <f t="shared" si="11"/>
        <v>3076.9032258064517</v>
      </c>
    </row>
    <row r="156" spans="1:30" x14ac:dyDescent="0.3">
      <c r="A156" s="2">
        <v>44501</v>
      </c>
      <c r="B156" s="10">
        <f t="shared" si="8"/>
        <v>30</v>
      </c>
      <c r="C156" s="7">
        <v>645</v>
      </c>
      <c r="D156" s="7">
        <v>36</v>
      </c>
      <c r="E156" s="7">
        <v>465380</v>
      </c>
      <c r="F156" s="7">
        <v>0</v>
      </c>
      <c r="G156" s="7">
        <v>315798</v>
      </c>
      <c r="H156" s="7">
        <v>98926</v>
      </c>
      <c r="I156" s="7">
        <v>11591</v>
      </c>
      <c r="J156" s="7">
        <v>39065</v>
      </c>
      <c r="K156" s="8">
        <v>525</v>
      </c>
      <c r="L156" s="8">
        <v>29</v>
      </c>
      <c r="M156" s="8">
        <v>400577</v>
      </c>
      <c r="N156" s="8">
        <v>0</v>
      </c>
      <c r="O156" s="8">
        <v>259226</v>
      </c>
      <c r="P156" s="8">
        <v>98926</v>
      </c>
      <c r="Q156" s="8">
        <v>7991</v>
      </c>
      <c r="R156" s="8">
        <v>34434</v>
      </c>
      <c r="S156" s="9">
        <v>120</v>
      </c>
      <c r="T156" s="9">
        <v>7</v>
      </c>
      <c r="U156" s="9">
        <v>64803</v>
      </c>
      <c r="V156" s="9">
        <v>0</v>
      </c>
      <c r="W156" s="9">
        <v>56572</v>
      </c>
      <c r="X156" s="9">
        <v>0</v>
      </c>
      <c r="Y156" s="9">
        <v>3600</v>
      </c>
      <c r="Z156" s="9">
        <v>4631</v>
      </c>
      <c r="AB156" s="7">
        <f t="shared" si="9"/>
        <v>15512.666666666666</v>
      </c>
      <c r="AC156" s="7">
        <f t="shared" si="10"/>
        <v>10526.6</v>
      </c>
      <c r="AD156" s="7">
        <f t="shared" si="11"/>
        <v>3297.5333333333333</v>
      </c>
    </row>
    <row r="157" spans="1:30" x14ac:dyDescent="0.3">
      <c r="A157" s="2">
        <v>44531</v>
      </c>
      <c r="B157" s="10">
        <f t="shared" si="8"/>
        <v>31</v>
      </c>
      <c r="C157" s="7">
        <v>690</v>
      </c>
      <c r="D157" s="7">
        <v>34</v>
      </c>
      <c r="E157" s="7">
        <v>486614</v>
      </c>
      <c r="F157" s="7">
        <v>0</v>
      </c>
      <c r="G157" s="7">
        <v>351658</v>
      </c>
      <c r="H157" s="7">
        <v>85128</v>
      </c>
      <c r="I157" s="7">
        <v>11179</v>
      </c>
      <c r="J157" s="7">
        <v>38649</v>
      </c>
      <c r="K157" s="8">
        <v>574</v>
      </c>
      <c r="L157" s="8">
        <v>30</v>
      </c>
      <c r="M157" s="8">
        <v>432991</v>
      </c>
      <c r="N157" s="8">
        <v>0</v>
      </c>
      <c r="O157" s="8">
        <v>304034</v>
      </c>
      <c r="P157" s="8">
        <v>85128</v>
      </c>
      <c r="Q157" s="8">
        <v>7840</v>
      </c>
      <c r="R157" s="8">
        <v>35989</v>
      </c>
      <c r="S157" s="9">
        <v>116</v>
      </c>
      <c r="T157" s="9">
        <v>4</v>
      </c>
      <c r="U157" s="9">
        <v>53623</v>
      </c>
      <c r="V157" s="9">
        <v>0</v>
      </c>
      <c r="W157" s="9">
        <v>47624</v>
      </c>
      <c r="X157" s="9">
        <v>0</v>
      </c>
      <c r="Y157" s="9">
        <v>3339</v>
      </c>
      <c r="Z157" s="9">
        <v>2660</v>
      </c>
      <c r="AB157" s="7">
        <f t="shared" si="9"/>
        <v>15697.225806451614</v>
      </c>
      <c r="AC157" s="7">
        <f t="shared" si="10"/>
        <v>11343.806451612903</v>
      </c>
      <c r="AD157" s="7">
        <f t="shared" si="11"/>
        <v>2746.0645161290322</v>
      </c>
    </row>
    <row r="158" spans="1:30" x14ac:dyDescent="0.3">
      <c r="A158" s="2">
        <v>44562</v>
      </c>
      <c r="B158" s="10">
        <f t="shared" ref="B158:B178" si="12">_xlfn.DAYS(EOMONTH(A158,0),A158)+1</f>
        <v>31</v>
      </c>
      <c r="C158" s="7">
        <v>615</v>
      </c>
      <c r="D158" s="7">
        <v>35</v>
      </c>
      <c r="E158" s="7">
        <v>451664</v>
      </c>
      <c r="F158" s="7">
        <v>0</v>
      </c>
      <c r="G158" s="7">
        <v>324456</v>
      </c>
      <c r="H158" s="7">
        <v>79896</v>
      </c>
      <c r="I158" s="7">
        <v>7743</v>
      </c>
      <c r="J158" s="7">
        <v>39569</v>
      </c>
      <c r="K158" s="8">
        <v>496</v>
      </c>
      <c r="L158" s="8">
        <v>29</v>
      </c>
      <c r="M158" s="8">
        <v>381770</v>
      </c>
      <c r="N158" s="8">
        <v>0</v>
      </c>
      <c r="O158" s="8">
        <v>276889</v>
      </c>
      <c r="P158" s="8">
        <v>65954</v>
      </c>
      <c r="Q158" s="8">
        <v>5790</v>
      </c>
      <c r="R158" s="8">
        <v>33137</v>
      </c>
      <c r="S158" s="9">
        <v>119</v>
      </c>
      <c r="T158" s="9">
        <v>6</v>
      </c>
      <c r="U158" s="9">
        <v>69894</v>
      </c>
      <c r="V158" s="9">
        <v>0</v>
      </c>
      <c r="W158" s="9">
        <v>47567</v>
      </c>
      <c r="X158" s="9">
        <v>13942</v>
      </c>
      <c r="Y158" s="9">
        <v>1953</v>
      </c>
      <c r="Z158" s="9">
        <v>6432</v>
      </c>
      <c r="AB158" s="7">
        <f t="shared" si="9"/>
        <v>14569.806451612903</v>
      </c>
      <c r="AC158" s="7">
        <f t="shared" si="10"/>
        <v>10466.322580645161</v>
      </c>
      <c r="AD158" s="7">
        <f t="shared" si="11"/>
        <v>2577.2903225806454</v>
      </c>
    </row>
    <row r="159" spans="1:30" x14ac:dyDescent="0.3">
      <c r="A159" s="2">
        <v>44593</v>
      </c>
      <c r="B159" s="10">
        <f t="shared" si="12"/>
        <v>28</v>
      </c>
      <c r="C159" s="7">
        <v>567</v>
      </c>
      <c r="D159" s="7">
        <v>33</v>
      </c>
      <c r="E159" s="7">
        <v>377649</v>
      </c>
      <c r="F159" s="7">
        <v>0</v>
      </c>
      <c r="G159" s="7">
        <v>229359</v>
      </c>
      <c r="H159" s="7">
        <v>105381</v>
      </c>
      <c r="I159" s="7">
        <v>6204</v>
      </c>
      <c r="J159" s="7">
        <v>36705</v>
      </c>
      <c r="K159" s="8">
        <v>458</v>
      </c>
      <c r="L159" s="8">
        <v>28</v>
      </c>
      <c r="M159" s="8">
        <v>321298</v>
      </c>
      <c r="N159" s="8">
        <v>0</v>
      </c>
      <c r="O159" s="8">
        <v>195690</v>
      </c>
      <c r="P159" s="8">
        <v>89375</v>
      </c>
      <c r="Q159" s="8">
        <v>3577</v>
      </c>
      <c r="R159" s="8">
        <v>32656</v>
      </c>
      <c r="S159" s="9">
        <v>109</v>
      </c>
      <c r="T159" s="9">
        <v>5</v>
      </c>
      <c r="U159" s="9">
        <v>56351</v>
      </c>
      <c r="V159" s="9">
        <v>0</v>
      </c>
      <c r="W159" s="9">
        <v>33669</v>
      </c>
      <c r="X159" s="9">
        <v>16006</v>
      </c>
      <c r="Y159" s="9">
        <v>2627</v>
      </c>
      <c r="Z159" s="9">
        <v>4049</v>
      </c>
      <c r="AB159" s="7">
        <f t="shared" si="9"/>
        <v>13487.464285714286</v>
      </c>
      <c r="AC159" s="7">
        <f t="shared" si="10"/>
        <v>8191.3928571428569</v>
      </c>
      <c r="AD159" s="7">
        <f t="shared" si="11"/>
        <v>3763.6071428571427</v>
      </c>
    </row>
    <row r="160" spans="1:30" x14ac:dyDescent="0.3">
      <c r="A160" s="2">
        <v>44621</v>
      </c>
      <c r="B160" s="10">
        <f t="shared" si="12"/>
        <v>31</v>
      </c>
      <c r="C160" s="7">
        <v>614</v>
      </c>
      <c r="D160" s="7">
        <v>32</v>
      </c>
      <c r="E160" s="7">
        <v>425073</v>
      </c>
      <c r="F160" s="7">
        <v>0</v>
      </c>
      <c r="G160" s="7">
        <v>253321</v>
      </c>
      <c r="H160" s="7">
        <v>127635</v>
      </c>
      <c r="I160" s="7">
        <v>9487</v>
      </c>
      <c r="J160" s="7">
        <v>34630</v>
      </c>
      <c r="K160" s="8">
        <v>502</v>
      </c>
      <c r="L160" s="8">
        <v>27</v>
      </c>
      <c r="M160" s="8">
        <v>367784</v>
      </c>
      <c r="N160" s="8">
        <v>0</v>
      </c>
      <c r="O160" s="8">
        <v>219295</v>
      </c>
      <c r="P160" s="8">
        <v>112604</v>
      </c>
      <c r="Q160" s="8">
        <v>6306</v>
      </c>
      <c r="R160" s="8">
        <v>29579</v>
      </c>
      <c r="S160" s="9">
        <v>112</v>
      </c>
      <c r="T160" s="9">
        <v>5</v>
      </c>
      <c r="U160" s="9">
        <v>57289</v>
      </c>
      <c r="V160" s="9">
        <v>0</v>
      </c>
      <c r="W160" s="9">
        <v>34026</v>
      </c>
      <c r="X160" s="9">
        <v>15031</v>
      </c>
      <c r="Y160" s="9">
        <v>3181</v>
      </c>
      <c r="Z160" s="9">
        <v>5051</v>
      </c>
      <c r="AB160" s="7">
        <f t="shared" si="9"/>
        <v>13712.032258064517</v>
      </c>
      <c r="AC160" s="7">
        <f t="shared" si="10"/>
        <v>8171.6451612903229</v>
      </c>
      <c r="AD160" s="7">
        <f t="shared" si="11"/>
        <v>4117.2580645161288</v>
      </c>
    </row>
    <row r="161" spans="1:30" x14ac:dyDescent="0.3">
      <c r="A161" s="2">
        <v>44652</v>
      </c>
      <c r="B161" s="10">
        <f t="shared" si="12"/>
        <v>30</v>
      </c>
      <c r="C161" s="7">
        <v>659</v>
      </c>
      <c r="D161" s="7">
        <v>32</v>
      </c>
      <c r="E161" s="7">
        <v>477901</v>
      </c>
      <c r="F161" s="7">
        <v>0</v>
      </c>
      <c r="G161" s="7">
        <v>289123</v>
      </c>
      <c r="H161" s="7">
        <v>134482</v>
      </c>
      <c r="I161" s="7">
        <v>9149</v>
      </c>
      <c r="J161" s="7">
        <v>45147</v>
      </c>
      <c r="K161" s="8">
        <v>545</v>
      </c>
      <c r="L161" s="8">
        <v>28</v>
      </c>
      <c r="M161" s="8">
        <v>400363</v>
      </c>
      <c r="N161" s="8">
        <v>0</v>
      </c>
      <c r="O161" s="8">
        <v>236468</v>
      </c>
      <c r="P161" s="8">
        <v>119538</v>
      </c>
      <c r="Q161" s="8">
        <v>7128</v>
      </c>
      <c r="R161" s="8">
        <v>37229</v>
      </c>
      <c r="S161" s="9">
        <v>114</v>
      </c>
      <c r="T161" s="9">
        <v>4</v>
      </c>
      <c r="U161" s="9">
        <v>77538</v>
      </c>
      <c r="V161" s="9">
        <v>0</v>
      </c>
      <c r="W161" s="9">
        <v>52655</v>
      </c>
      <c r="X161" s="9">
        <v>14944</v>
      </c>
      <c r="Y161" s="9">
        <v>2021</v>
      </c>
      <c r="Z161" s="9">
        <v>7918</v>
      </c>
      <c r="AB161" s="7">
        <f t="shared" si="9"/>
        <v>15930.033333333333</v>
      </c>
      <c r="AC161" s="7">
        <f t="shared" si="10"/>
        <v>9637.4333333333325</v>
      </c>
      <c r="AD161" s="7">
        <f t="shared" si="11"/>
        <v>4482.7333333333336</v>
      </c>
    </row>
    <row r="162" spans="1:30" x14ac:dyDescent="0.3">
      <c r="A162" s="2">
        <v>44682</v>
      </c>
      <c r="B162" s="10">
        <f t="shared" si="12"/>
        <v>31</v>
      </c>
      <c r="C162" s="7">
        <v>611</v>
      </c>
      <c r="D162" s="7">
        <v>31</v>
      </c>
      <c r="E162" s="7">
        <v>421272</v>
      </c>
      <c r="F162" s="7">
        <v>0</v>
      </c>
      <c r="G162" s="7">
        <v>246842</v>
      </c>
      <c r="H162" s="7">
        <v>125136</v>
      </c>
      <c r="I162" s="7">
        <v>12723</v>
      </c>
      <c r="J162" s="7">
        <v>36571</v>
      </c>
      <c r="K162" s="8">
        <v>495</v>
      </c>
      <c r="L162" s="8">
        <v>26</v>
      </c>
      <c r="M162" s="8">
        <v>351333</v>
      </c>
      <c r="N162" s="8">
        <v>0</v>
      </c>
      <c r="O162" s="8">
        <v>214306</v>
      </c>
      <c r="P162" s="8">
        <v>96645</v>
      </c>
      <c r="Q162" s="8">
        <v>9373</v>
      </c>
      <c r="R162" s="8">
        <v>31009</v>
      </c>
      <c r="S162" s="9">
        <v>116</v>
      </c>
      <c r="T162" s="9">
        <v>5</v>
      </c>
      <c r="U162" s="9">
        <v>69939</v>
      </c>
      <c r="V162" s="9">
        <v>0</v>
      </c>
      <c r="W162" s="9">
        <v>32536</v>
      </c>
      <c r="X162" s="9">
        <v>28491</v>
      </c>
      <c r="Y162" s="9">
        <v>3350</v>
      </c>
      <c r="Z162" s="9">
        <v>5562</v>
      </c>
      <c r="AB162" s="7">
        <f t="shared" si="9"/>
        <v>13589.41935483871</v>
      </c>
      <c r="AC162" s="7">
        <f t="shared" si="10"/>
        <v>7962.6451612903229</v>
      </c>
      <c r="AD162" s="7">
        <f t="shared" si="11"/>
        <v>4036.6451612903224</v>
      </c>
    </row>
    <row r="163" spans="1:30" x14ac:dyDescent="0.3">
      <c r="A163" s="2">
        <v>44713</v>
      </c>
      <c r="B163" s="10">
        <f t="shared" si="12"/>
        <v>30</v>
      </c>
      <c r="C163" s="7">
        <v>637</v>
      </c>
      <c r="D163" s="7">
        <v>31</v>
      </c>
      <c r="E163" s="7">
        <v>433973</v>
      </c>
      <c r="F163" s="7">
        <v>0</v>
      </c>
      <c r="G163" s="7">
        <v>258314</v>
      </c>
      <c r="H163" s="7">
        <v>124777</v>
      </c>
      <c r="I163" s="7">
        <v>9206</v>
      </c>
      <c r="J163" s="7">
        <v>41676</v>
      </c>
      <c r="K163" s="8">
        <v>514</v>
      </c>
      <c r="L163" s="8">
        <v>26</v>
      </c>
      <c r="M163" s="8">
        <v>367575</v>
      </c>
      <c r="N163" s="8">
        <v>0</v>
      </c>
      <c r="O163" s="8">
        <v>202470</v>
      </c>
      <c r="P163" s="8">
        <v>123678</v>
      </c>
      <c r="Q163" s="8">
        <v>3411</v>
      </c>
      <c r="R163" s="8">
        <v>38016</v>
      </c>
      <c r="S163" s="9">
        <v>123</v>
      </c>
      <c r="T163" s="9">
        <v>5</v>
      </c>
      <c r="U163" s="9">
        <v>66398</v>
      </c>
      <c r="V163" s="9">
        <v>0</v>
      </c>
      <c r="W163" s="9">
        <v>55844</v>
      </c>
      <c r="X163" s="9">
        <v>1099</v>
      </c>
      <c r="Y163" s="9">
        <v>5795</v>
      </c>
      <c r="Z163" s="9">
        <v>3660</v>
      </c>
      <c r="AB163" s="7">
        <f t="shared" si="9"/>
        <v>14465.766666666666</v>
      </c>
      <c r="AC163" s="7">
        <f t="shared" si="10"/>
        <v>8610.4666666666672</v>
      </c>
      <c r="AD163" s="7">
        <f t="shared" si="11"/>
        <v>4159.2333333333336</v>
      </c>
    </row>
    <row r="164" spans="1:30" x14ac:dyDescent="0.3">
      <c r="A164" s="2">
        <v>44743</v>
      </c>
      <c r="B164" s="10">
        <f t="shared" si="12"/>
        <v>31</v>
      </c>
      <c r="C164" s="7">
        <v>644</v>
      </c>
      <c r="D164" s="7">
        <v>31</v>
      </c>
      <c r="E164" s="7">
        <v>448037</v>
      </c>
      <c r="F164" s="7">
        <v>0</v>
      </c>
      <c r="G164" s="7">
        <v>316311</v>
      </c>
      <c r="H164" s="7">
        <v>69060</v>
      </c>
      <c r="I164" s="7">
        <v>11133</v>
      </c>
      <c r="J164" s="7">
        <v>51533</v>
      </c>
      <c r="K164" s="8">
        <v>525</v>
      </c>
      <c r="L164" s="8">
        <v>25</v>
      </c>
      <c r="M164" s="8">
        <v>387813</v>
      </c>
      <c r="N164" s="8">
        <v>0</v>
      </c>
      <c r="O164" s="8">
        <v>268753</v>
      </c>
      <c r="P164" s="8">
        <v>65652</v>
      </c>
      <c r="Q164" s="8">
        <v>6786</v>
      </c>
      <c r="R164" s="8">
        <v>46622</v>
      </c>
      <c r="S164" s="9">
        <v>119</v>
      </c>
      <c r="T164" s="9">
        <v>6</v>
      </c>
      <c r="U164" s="9">
        <v>60224</v>
      </c>
      <c r="V164" s="9">
        <v>0</v>
      </c>
      <c r="W164" s="9">
        <v>47558</v>
      </c>
      <c r="X164" s="9">
        <v>3408</v>
      </c>
      <c r="Y164" s="9">
        <v>4347</v>
      </c>
      <c r="Z164" s="9">
        <v>4911</v>
      </c>
      <c r="AB164" s="7">
        <f t="shared" si="9"/>
        <v>14452.806451612903</v>
      </c>
      <c r="AC164" s="7">
        <f t="shared" si="10"/>
        <v>10203.58064516129</v>
      </c>
      <c r="AD164" s="7">
        <f t="shared" si="11"/>
        <v>2227.7419354838707</v>
      </c>
    </row>
    <row r="165" spans="1:30" x14ac:dyDescent="0.3">
      <c r="A165" s="2">
        <v>44774</v>
      </c>
      <c r="B165" s="10">
        <f t="shared" si="12"/>
        <v>31</v>
      </c>
      <c r="C165" s="7">
        <v>645</v>
      </c>
      <c r="D165" s="7">
        <v>32</v>
      </c>
      <c r="E165" s="7">
        <v>472448</v>
      </c>
      <c r="F165" s="7">
        <v>0</v>
      </c>
      <c r="G165" s="7">
        <v>320648</v>
      </c>
      <c r="H165" s="7">
        <v>91745</v>
      </c>
      <c r="I165" s="7">
        <v>8099</v>
      </c>
      <c r="J165" s="7">
        <v>51956</v>
      </c>
      <c r="K165" s="8">
        <v>525</v>
      </c>
      <c r="L165" s="8">
        <v>25</v>
      </c>
      <c r="M165" s="8">
        <v>408173</v>
      </c>
      <c r="N165" s="8">
        <v>0</v>
      </c>
      <c r="O165" s="8">
        <v>267186</v>
      </c>
      <c r="P165" s="8">
        <v>90624</v>
      </c>
      <c r="Q165" s="8">
        <v>4013</v>
      </c>
      <c r="R165" s="8">
        <v>46350</v>
      </c>
      <c r="S165" s="9">
        <v>120</v>
      </c>
      <c r="T165" s="9">
        <v>7</v>
      </c>
      <c r="U165" s="9">
        <v>64275</v>
      </c>
      <c r="V165" s="9">
        <v>0</v>
      </c>
      <c r="W165" s="9">
        <v>53462</v>
      </c>
      <c r="X165" s="9">
        <v>1121</v>
      </c>
      <c r="Y165" s="9">
        <v>4086</v>
      </c>
      <c r="Z165" s="9">
        <v>5606</v>
      </c>
      <c r="AB165" s="7">
        <f t="shared" si="9"/>
        <v>15240.258064516129</v>
      </c>
      <c r="AC165" s="7">
        <f t="shared" si="10"/>
        <v>10343.483870967742</v>
      </c>
      <c r="AD165" s="7">
        <f t="shared" si="11"/>
        <v>2959.516129032258</v>
      </c>
    </row>
    <row r="166" spans="1:30" x14ac:dyDescent="0.3">
      <c r="A166" s="2">
        <v>44805</v>
      </c>
      <c r="B166" s="10">
        <f t="shared" si="12"/>
        <v>30</v>
      </c>
      <c r="C166" s="7">
        <v>558</v>
      </c>
      <c r="D166" s="7">
        <v>32</v>
      </c>
      <c r="E166" s="7">
        <v>381570</v>
      </c>
      <c r="F166" s="7">
        <v>0</v>
      </c>
      <c r="G166" s="7">
        <v>265365</v>
      </c>
      <c r="H166" s="7">
        <v>76514</v>
      </c>
      <c r="I166" s="7">
        <v>8071</v>
      </c>
      <c r="J166" s="7">
        <v>31620</v>
      </c>
      <c r="K166" s="8">
        <v>443</v>
      </c>
      <c r="L166" s="8">
        <v>25</v>
      </c>
      <c r="M166" s="8">
        <v>321419</v>
      </c>
      <c r="N166" s="8">
        <v>0</v>
      </c>
      <c r="O166" s="8">
        <v>219287</v>
      </c>
      <c r="P166" s="8">
        <v>70426</v>
      </c>
      <c r="Q166" s="8">
        <v>3580</v>
      </c>
      <c r="R166" s="8">
        <v>28126</v>
      </c>
      <c r="S166" s="9">
        <v>115</v>
      </c>
      <c r="T166" s="9">
        <v>7</v>
      </c>
      <c r="U166" s="9">
        <v>60151</v>
      </c>
      <c r="V166" s="9">
        <v>0</v>
      </c>
      <c r="W166" s="9">
        <v>46078</v>
      </c>
      <c r="X166" s="9">
        <v>6088</v>
      </c>
      <c r="Y166" s="9">
        <v>4491</v>
      </c>
      <c r="Z166" s="9">
        <v>3494</v>
      </c>
      <c r="AB166" s="7">
        <f t="shared" si="9"/>
        <v>12719</v>
      </c>
      <c r="AC166" s="7">
        <f t="shared" si="10"/>
        <v>8845.5</v>
      </c>
      <c r="AD166" s="7">
        <f t="shared" si="11"/>
        <v>2550.4666666666667</v>
      </c>
    </row>
    <row r="167" spans="1:30" x14ac:dyDescent="0.3">
      <c r="A167" s="2">
        <v>44835</v>
      </c>
      <c r="B167" s="10">
        <f t="shared" si="12"/>
        <v>31</v>
      </c>
      <c r="C167" s="7">
        <v>656</v>
      </c>
      <c r="D167" s="7">
        <v>32</v>
      </c>
      <c r="E167" s="7">
        <v>453654</v>
      </c>
      <c r="F167" s="7">
        <v>0</v>
      </c>
      <c r="G167" s="7">
        <v>321172</v>
      </c>
      <c r="H167" s="7">
        <v>83449</v>
      </c>
      <c r="I167" s="7">
        <v>9617</v>
      </c>
      <c r="J167" s="7">
        <v>39416</v>
      </c>
      <c r="K167" s="8">
        <v>471</v>
      </c>
      <c r="L167" s="8">
        <v>23</v>
      </c>
      <c r="M167" s="8">
        <v>349482</v>
      </c>
      <c r="N167" s="8">
        <v>0</v>
      </c>
      <c r="O167" s="8">
        <v>244771</v>
      </c>
      <c r="P167" s="8">
        <v>69837</v>
      </c>
      <c r="Q167" s="8">
        <v>3622</v>
      </c>
      <c r="R167" s="8">
        <v>31252</v>
      </c>
      <c r="S167" s="9">
        <v>185</v>
      </c>
      <c r="T167" s="9">
        <v>9</v>
      </c>
      <c r="U167" s="9">
        <v>104172</v>
      </c>
      <c r="V167" s="9">
        <v>0</v>
      </c>
      <c r="W167" s="9">
        <v>76401</v>
      </c>
      <c r="X167" s="9">
        <v>13612</v>
      </c>
      <c r="Y167" s="9">
        <v>5995</v>
      </c>
      <c r="Z167" s="9">
        <v>8164</v>
      </c>
      <c r="AB167" s="7">
        <f t="shared" si="9"/>
        <v>14634</v>
      </c>
      <c r="AC167" s="7">
        <f t="shared" si="10"/>
        <v>10360.387096774193</v>
      </c>
      <c r="AD167" s="7">
        <f t="shared" si="11"/>
        <v>2691.9032258064517</v>
      </c>
    </row>
    <row r="168" spans="1:30" x14ac:dyDescent="0.3">
      <c r="A168" s="2">
        <v>44866</v>
      </c>
      <c r="B168" s="10">
        <f t="shared" si="12"/>
        <v>30</v>
      </c>
      <c r="C168" s="7">
        <v>627</v>
      </c>
      <c r="D168" s="7">
        <v>31</v>
      </c>
      <c r="E168" s="7">
        <v>412792</v>
      </c>
      <c r="F168" s="7">
        <v>0</v>
      </c>
      <c r="G168" s="7">
        <v>296592</v>
      </c>
      <c r="H168" s="7">
        <v>75221</v>
      </c>
      <c r="I168" s="7">
        <v>7102</v>
      </c>
      <c r="J168" s="7">
        <v>33877</v>
      </c>
      <c r="K168" s="8">
        <v>486</v>
      </c>
      <c r="L168" s="8">
        <v>24</v>
      </c>
      <c r="M168" s="8">
        <v>340578</v>
      </c>
      <c r="N168" s="8">
        <v>0</v>
      </c>
      <c r="O168" s="8">
        <v>237137</v>
      </c>
      <c r="P168" s="8">
        <v>73409</v>
      </c>
      <c r="Q168" s="8">
        <v>1607</v>
      </c>
      <c r="R168" s="8">
        <v>28425</v>
      </c>
      <c r="S168" s="9">
        <v>141</v>
      </c>
      <c r="T168" s="9">
        <v>7</v>
      </c>
      <c r="U168" s="9">
        <v>72214</v>
      </c>
      <c r="V168" s="9">
        <v>0</v>
      </c>
      <c r="W168" s="9">
        <v>59455</v>
      </c>
      <c r="X168" s="9">
        <v>1812</v>
      </c>
      <c r="Y168" s="9">
        <v>5495</v>
      </c>
      <c r="Z168" s="9">
        <v>5452</v>
      </c>
      <c r="AB168" s="7">
        <f t="shared" si="9"/>
        <v>13759.733333333334</v>
      </c>
      <c r="AC168" s="7">
        <f t="shared" si="10"/>
        <v>9886.4</v>
      </c>
      <c r="AD168" s="7">
        <f t="shared" si="11"/>
        <v>2507.3666666666668</v>
      </c>
    </row>
    <row r="169" spans="1:30" x14ac:dyDescent="0.3">
      <c r="A169" s="2">
        <v>44896</v>
      </c>
      <c r="B169" s="10">
        <f t="shared" si="12"/>
        <v>31</v>
      </c>
      <c r="C169" s="7">
        <v>713</v>
      </c>
      <c r="D169" s="7">
        <v>34</v>
      </c>
      <c r="E169" s="7">
        <v>476109</v>
      </c>
      <c r="F169" s="7">
        <v>0</v>
      </c>
      <c r="G169" s="7">
        <v>346797</v>
      </c>
      <c r="H169" s="7">
        <v>73841</v>
      </c>
      <c r="I169" s="7">
        <v>15012</v>
      </c>
      <c r="J169" s="7">
        <v>40459</v>
      </c>
      <c r="K169" s="8">
        <v>578</v>
      </c>
      <c r="L169" s="8">
        <v>26</v>
      </c>
      <c r="M169" s="8">
        <v>417051</v>
      </c>
      <c r="N169" s="8">
        <v>0</v>
      </c>
      <c r="O169" s="8">
        <v>302778</v>
      </c>
      <c r="P169" s="8">
        <v>69444</v>
      </c>
      <c r="Q169" s="8">
        <v>9078</v>
      </c>
      <c r="R169" s="8">
        <v>35751</v>
      </c>
      <c r="S169" s="9">
        <v>135</v>
      </c>
      <c r="T169" s="9">
        <v>8</v>
      </c>
      <c r="U169" s="9">
        <v>59058</v>
      </c>
      <c r="V169" s="9">
        <v>0</v>
      </c>
      <c r="W169" s="9">
        <v>44019</v>
      </c>
      <c r="X169" s="9">
        <v>4397</v>
      </c>
      <c r="Y169" s="9">
        <v>5934</v>
      </c>
      <c r="Z169" s="9">
        <v>4708</v>
      </c>
      <c r="AB169" s="7">
        <f t="shared" si="9"/>
        <v>15358.354838709678</v>
      </c>
      <c r="AC169" s="7">
        <f t="shared" si="10"/>
        <v>11187</v>
      </c>
      <c r="AD169" s="7">
        <f t="shared" si="11"/>
        <v>2381.9677419354839</v>
      </c>
    </row>
    <row r="170" spans="1:30" x14ac:dyDescent="0.3">
      <c r="A170" s="2">
        <v>44927</v>
      </c>
      <c r="B170" s="10">
        <f t="shared" si="12"/>
        <v>31</v>
      </c>
      <c r="C170" s="7">
        <v>690</v>
      </c>
      <c r="D170" s="7">
        <v>33</v>
      </c>
      <c r="E170" s="7">
        <v>434807</v>
      </c>
      <c r="F170" s="7">
        <v>0</v>
      </c>
      <c r="G170" s="7">
        <v>308271</v>
      </c>
      <c r="H170" s="7">
        <v>78767</v>
      </c>
      <c r="I170" s="7">
        <v>11551</v>
      </c>
      <c r="J170" s="7">
        <v>36218</v>
      </c>
      <c r="K170" s="8">
        <v>553</v>
      </c>
      <c r="L170" s="8">
        <v>27</v>
      </c>
      <c r="M170" s="8">
        <v>364828</v>
      </c>
      <c r="N170" s="8">
        <v>0</v>
      </c>
      <c r="O170" s="8">
        <v>258455</v>
      </c>
      <c r="P170" s="8">
        <v>69091</v>
      </c>
      <c r="Q170" s="8">
        <v>5592</v>
      </c>
      <c r="R170" s="8">
        <v>31690</v>
      </c>
      <c r="S170" s="9">
        <v>137</v>
      </c>
      <c r="T170" s="9">
        <v>6</v>
      </c>
      <c r="U170" s="9">
        <v>69979</v>
      </c>
      <c r="V170" s="9">
        <v>0</v>
      </c>
      <c r="W170" s="9">
        <v>49816</v>
      </c>
      <c r="X170" s="9">
        <v>9676</v>
      </c>
      <c r="Y170" s="9">
        <v>5959</v>
      </c>
      <c r="Z170" s="9">
        <v>4528</v>
      </c>
      <c r="AB170" s="7">
        <f t="shared" si="9"/>
        <v>14026.032258064517</v>
      </c>
      <c r="AC170" s="7">
        <f t="shared" si="10"/>
        <v>9944.2258064516136</v>
      </c>
      <c r="AD170" s="7">
        <f t="shared" si="11"/>
        <v>2540.8709677419356</v>
      </c>
    </row>
    <row r="171" spans="1:30" x14ac:dyDescent="0.3">
      <c r="A171" s="2">
        <v>44958</v>
      </c>
      <c r="B171" s="10">
        <f t="shared" si="12"/>
        <v>28</v>
      </c>
      <c r="C171" s="7">
        <v>588</v>
      </c>
      <c r="D171" s="7">
        <v>31</v>
      </c>
      <c r="E171" s="7">
        <v>403703</v>
      </c>
      <c r="F171" s="7">
        <v>0</v>
      </c>
      <c r="G171" s="7">
        <v>282688</v>
      </c>
      <c r="H171" s="7">
        <v>76083</v>
      </c>
      <c r="I171" s="7">
        <v>12106</v>
      </c>
      <c r="J171" s="7">
        <v>32826</v>
      </c>
      <c r="K171" s="8">
        <v>465</v>
      </c>
      <c r="L171" s="8">
        <v>24</v>
      </c>
      <c r="M171" s="8">
        <v>339869</v>
      </c>
      <c r="N171" s="8">
        <v>0</v>
      </c>
      <c r="O171" s="8">
        <v>234646</v>
      </c>
      <c r="P171" s="8">
        <v>70497</v>
      </c>
      <c r="Q171" s="8">
        <v>8674</v>
      </c>
      <c r="R171" s="8">
        <v>26052</v>
      </c>
      <c r="S171" s="9">
        <v>123</v>
      </c>
      <c r="T171" s="9">
        <v>7</v>
      </c>
      <c r="U171" s="9">
        <v>63834</v>
      </c>
      <c r="V171" s="9">
        <v>0</v>
      </c>
      <c r="W171" s="9">
        <v>48042</v>
      </c>
      <c r="X171" s="9">
        <v>5586</v>
      </c>
      <c r="Y171" s="9">
        <v>3432</v>
      </c>
      <c r="Z171" s="9">
        <v>6774</v>
      </c>
      <c r="AB171" s="7">
        <f t="shared" si="9"/>
        <v>14417.964285714286</v>
      </c>
      <c r="AC171" s="7">
        <f t="shared" si="10"/>
        <v>10096</v>
      </c>
      <c r="AD171" s="7">
        <f t="shared" si="11"/>
        <v>2717.25</v>
      </c>
    </row>
    <row r="172" spans="1:30" x14ac:dyDescent="0.3">
      <c r="A172" s="2">
        <v>44986</v>
      </c>
      <c r="B172" s="10">
        <f t="shared" si="12"/>
        <v>31</v>
      </c>
      <c r="C172" s="7">
        <v>669</v>
      </c>
      <c r="D172" s="7">
        <v>34</v>
      </c>
      <c r="E172" s="7">
        <v>467425</v>
      </c>
      <c r="F172" s="7">
        <v>0</v>
      </c>
      <c r="G172" s="7">
        <v>322143</v>
      </c>
      <c r="H172" s="7">
        <v>93725</v>
      </c>
      <c r="I172" s="7">
        <v>14254</v>
      </c>
      <c r="J172" s="7">
        <v>37303</v>
      </c>
      <c r="K172" s="8">
        <v>528</v>
      </c>
      <c r="L172" s="8">
        <v>27</v>
      </c>
      <c r="M172" s="8">
        <v>393706</v>
      </c>
      <c r="N172" s="8">
        <v>0</v>
      </c>
      <c r="O172" s="8">
        <v>266658</v>
      </c>
      <c r="P172" s="8">
        <v>87506</v>
      </c>
      <c r="Q172" s="8">
        <v>10641</v>
      </c>
      <c r="R172" s="8">
        <v>28901</v>
      </c>
      <c r="S172" s="9">
        <v>141</v>
      </c>
      <c r="T172" s="9">
        <v>7</v>
      </c>
      <c r="U172" s="9">
        <v>73719</v>
      </c>
      <c r="V172" s="9">
        <v>0</v>
      </c>
      <c r="W172" s="9">
        <v>55485</v>
      </c>
      <c r="X172" s="9">
        <v>6219</v>
      </c>
      <c r="Y172" s="9">
        <v>3613</v>
      </c>
      <c r="Z172" s="9">
        <v>8402</v>
      </c>
      <c r="AB172" s="7">
        <f t="shared" si="9"/>
        <v>15078.225806451614</v>
      </c>
      <c r="AC172" s="7">
        <f t="shared" si="10"/>
        <v>10391.709677419354</v>
      </c>
      <c r="AD172" s="7">
        <f t="shared" si="11"/>
        <v>3023.3870967741937</v>
      </c>
    </row>
    <row r="173" spans="1:30" x14ac:dyDescent="0.3">
      <c r="A173" s="2">
        <v>45017</v>
      </c>
      <c r="B173" s="10">
        <f t="shared" si="12"/>
        <v>30</v>
      </c>
      <c r="C173" s="7">
        <v>587</v>
      </c>
      <c r="D173" s="7">
        <v>32</v>
      </c>
      <c r="E173" s="7">
        <v>383908</v>
      </c>
      <c r="F173" s="7">
        <v>0</v>
      </c>
      <c r="G173" s="7">
        <v>273347</v>
      </c>
      <c r="H173" s="7">
        <v>69941</v>
      </c>
      <c r="I173" s="7">
        <v>9634</v>
      </c>
      <c r="J173" s="7">
        <v>30986</v>
      </c>
      <c r="K173" s="8">
        <v>454</v>
      </c>
      <c r="L173" s="8">
        <v>25</v>
      </c>
      <c r="M173" s="8">
        <v>312199</v>
      </c>
      <c r="N173" s="8">
        <v>0</v>
      </c>
      <c r="O173" s="8">
        <v>219001</v>
      </c>
      <c r="P173" s="8">
        <v>63690</v>
      </c>
      <c r="Q173" s="8">
        <v>5662</v>
      </c>
      <c r="R173" s="8">
        <v>23846</v>
      </c>
      <c r="S173" s="9">
        <v>133</v>
      </c>
      <c r="T173" s="9">
        <v>7</v>
      </c>
      <c r="U173" s="9">
        <v>71709</v>
      </c>
      <c r="V173" s="9">
        <v>0</v>
      </c>
      <c r="W173" s="9">
        <v>54346</v>
      </c>
      <c r="X173" s="9">
        <v>6251</v>
      </c>
      <c r="Y173" s="9">
        <v>3972</v>
      </c>
      <c r="Z173" s="9">
        <v>7140</v>
      </c>
      <c r="AB173" s="7">
        <f t="shared" si="9"/>
        <v>12796.933333333332</v>
      </c>
      <c r="AC173" s="7">
        <f t="shared" si="10"/>
        <v>9111.5666666666675</v>
      </c>
      <c r="AD173" s="7">
        <f t="shared" si="11"/>
        <v>2331.3666666666668</v>
      </c>
    </row>
    <row r="174" spans="1:30" x14ac:dyDescent="0.3">
      <c r="A174" s="2">
        <v>45047</v>
      </c>
      <c r="B174" s="10">
        <f t="shared" si="12"/>
        <v>31</v>
      </c>
      <c r="C174" s="7">
        <v>576</v>
      </c>
      <c r="D174" s="7">
        <v>31</v>
      </c>
      <c r="E174" s="7">
        <v>406355</v>
      </c>
      <c r="F174" s="7">
        <v>0</v>
      </c>
      <c r="G174" s="7">
        <v>266223</v>
      </c>
      <c r="H174" s="7">
        <v>101093</v>
      </c>
      <c r="I174" s="7">
        <v>6276</v>
      </c>
      <c r="J174" s="7">
        <v>32763</v>
      </c>
      <c r="K174" s="8">
        <v>440</v>
      </c>
      <c r="L174" s="8">
        <v>24</v>
      </c>
      <c r="M174" s="8">
        <v>337509</v>
      </c>
      <c r="N174" s="8">
        <v>0</v>
      </c>
      <c r="O174" s="8">
        <v>212431</v>
      </c>
      <c r="P174" s="8">
        <v>95953</v>
      </c>
      <c r="Q174" s="8">
        <v>3782</v>
      </c>
      <c r="R174" s="8">
        <v>25343</v>
      </c>
      <c r="S174" s="9">
        <v>136</v>
      </c>
      <c r="T174" s="9">
        <v>7</v>
      </c>
      <c r="U174" s="9">
        <v>68846</v>
      </c>
      <c r="V174" s="9">
        <v>0</v>
      </c>
      <c r="W174" s="9">
        <v>53792</v>
      </c>
      <c r="X174" s="9">
        <v>5140</v>
      </c>
      <c r="Y174" s="9">
        <v>2494</v>
      </c>
      <c r="Z174" s="9">
        <v>7420</v>
      </c>
      <c r="AB174" s="7">
        <f t="shared" si="9"/>
        <v>13108.225806451614</v>
      </c>
      <c r="AC174" s="7">
        <f t="shared" si="10"/>
        <v>8587.8387096774186</v>
      </c>
      <c r="AD174" s="7">
        <f t="shared" si="11"/>
        <v>3261.0645161290322</v>
      </c>
    </row>
    <row r="175" spans="1:30" x14ac:dyDescent="0.3">
      <c r="A175" s="2">
        <v>45078</v>
      </c>
      <c r="B175" s="10">
        <f t="shared" si="12"/>
        <v>30</v>
      </c>
      <c r="C175" s="7">
        <v>558</v>
      </c>
      <c r="D175" s="7">
        <v>32</v>
      </c>
      <c r="E175" s="7">
        <v>382955</v>
      </c>
      <c r="F175" s="7">
        <v>0</v>
      </c>
      <c r="G175" s="7">
        <v>274687</v>
      </c>
      <c r="H175" s="7">
        <v>66784</v>
      </c>
      <c r="I175" s="7">
        <v>10434</v>
      </c>
      <c r="J175" s="7">
        <v>31050</v>
      </c>
      <c r="K175" s="8">
        <v>434</v>
      </c>
      <c r="L175" s="8">
        <v>26</v>
      </c>
      <c r="M175" s="8">
        <v>318489</v>
      </c>
      <c r="N175" s="8">
        <v>0</v>
      </c>
      <c r="O175" s="8">
        <v>221912</v>
      </c>
      <c r="P175" s="8">
        <v>62751</v>
      </c>
      <c r="Q175" s="8">
        <v>8012</v>
      </c>
      <c r="R175" s="8">
        <v>25814</v>
      </c>
      <c r="S175" s="9">
        <v>124</v>
      </c>
      <c r="T175" s="9">
        <v>6</v>
      </c>
      <c r="U175" s="9">
        <v>64466</v>
      </c>
      <c r="V175" s="9">
        <v>0</v>
      </c>
      <c r="W175" s="9">
        <v>52775</v>
      </c>
      <c r="X175" s="9">
        <v>4033</v>
      </c>
      <c r="Y175" s="9">
        <v>2422</v>
      </c>
      <c r="Z175" s="9">
        <v>5236</v>
      </c>
      <c r="AA175" s="1"/>
      <c r="AB175" s="7">
        <f t="shared" si="9"/>
        <v>12765.166666666666</v>
      </c>
      <c r="AC175" s="7">
        <f t="shared" si="10"/>
        <v>9156.2333333333336</v>
      </c>
      <c r="AD175" s="7">
        <f t="shared" si="11"/>
        <v>2226.1333333333332</v>
      </c>
    </row>
    <row r="176" spans="1:30" x14ac:dyDescent="0.3">
      <c r="A176" s="2">
        <v>45108</v>
      </c>
      <c r="B176" s="10">
        <f t="shared" si="12"/>
        <v>31</v>
      </c>
      <c r="C176" s="7">
        <v>618</v>
      </c>
      <c r="D176" s="7">
        <v>30</v>
      </c>
      <c r="E176" s="7">
        <v>412478</v>
      </c>
      <c r="F176" s="7">
        <v>0</v>
      </c>
      <c r="G176" s="7">
        <v>293174</v>
      </c>
      <c r="H176" s="7">
        <v>74117</v>
      </c>
      <c r="I176" s="7">
        <v>10159</v>
      </c>
      <c r="J176" s="7">
        <v>35028</v>
      </c>
      <c r="K176" s="8">
        <v>476</v>
      </c>
      <c r="L176" s="8">
        <v>23</v>
      </c>
      <c r="M176" s="8">
        <v>341585</v>
      </c>
      <c r="N176" s="8">
        <v>0</v>
      </c>
      <c r="O176" s="8">
        <v>241525</v>
      </c>
      <c r="P176" s="8">
        <v>67055</v>
      </c>
      <c r="Q176" s="8">
        <v>5333</v>
      </c>
      <c r="R176" s="8">
        <v>27672</v>
      </c>
      <c r="S176" s="9">
        <v>142</v>
      </c>
      <c r="T176" s="9">
        <v>7</v>
      </c>
      <c r="U176" s="9">
        <v>70893</v>
      </c>
      <c r="V176" s="9">
        <v>0</v>
      </c>
      <c r="W176" s="9">
        <v>51649</v>
      </c>
      <c r="X176" s="9">
        <v>7062</v>
      </c>
      <c r="Y176" s="9">
        <v>4826</v>
      </c>
      <c r="Z176" s="9">
        <v>7356</v>
      </c>
      <c r="AB176" s="7">
        <f t="shared" si="9"/>
        <v>13305.741935483871</v>
      </c>
      <c r="AC176" s="7">
        <f t="shared" si="10"/>
        <v>9457.2258064516136</v>
      </c>
      <c r="AD176" s="7">
        <f t="shared" si="11"/>
        <v>2390.8709677419356</v>
      </c>
    </row>
    <row r="177" spans="1:40" x14ac:dyDescent="0.3">
      <c r="A177" s="2">
        <v>45139</v>
      </c>
      <c r="B177" s="10">
        <f t="shared" si="12"/>
        <v>31</v>
      </c>
      <c r="C177" s="7">
        <v>630</v>
      </c>
      <c r="D177" s="7">
        <v>31</v>
      </c>
      <c r="E177" s="7">
        <v>420128</v>
      </c>
      <c r="F177" s="7">
        <v>0</v>
      </c>
      <c r="G177" s="7">
        <v>292280</v>
      </c>
      <c r="H177" s="7">
        <v>83199</v>
      </c>
      <c r="I177" s="7">
        <v>9207</v>
      </c>
      <c r="J177" s="7">
        <v>35442</v>
      </c>
      <c r="K177" s="8">
        <v>494</v>
      </c>
      <c r="L177" s="8">
        <v>25</v>
      </c>
      <c r="M177" s="8">
        <v>347246</v>
      </c>
      <c r="N177" s="8">
        <v>0</v>
      </c>
      <c r="O177" s="8">
        <v>237599</v>
      </c>
      <c r="P177" s="8">
        <v>76133</v>
      </c>
      <c r="Q177" s="8">
        <v>5473</v>
      </c>
      <c r="R177" s="8">
        <v>28041</v>
      </c>
      <c r="S177" s="9">
        <v>136</v>
      </c>
      <c r="T177" s="9">
        <v>6</v>
      </c>
      <c r="U177" s="9">
        <v>72882</v>
      </c>
      <c r="V177" s="9">
        <v>0</v>
      </c>
      <c r="W177" s="9">
        <v>54681</v>
      </c>
      <c r="X177" s="9">
        <v>7066</v>
      </c>
      <c r="Y177" s="9">
        <v>3734</v>
      </c>
      <c r="Z177" s="9">
        <v>7401</v>
      </c>
      <c r="AB177" s="7">
        <f t="shared" si="9"/>
        <v>13552.516129032258</v>
      </c>
      <c r="AC177" s="7">
        <f t="shared" si="10"/>
        <v>9428.3870967741932</v>
      </c>
      <c r="AD177" s="7">
        <f t="shared" si="11"/>
        <v>2683.8387096774195</v>
      </c>
      <c r="AL177" s="11"/>
    </row>
    <row r="178" spans="1:40" x14ac:dyDescent="0.3">
      <c r="A178" s="2">
        <v>45170</v>
      </c>
      <c r="B178" s="10">
        <f t="shared" si="12"/>
        <v>30</v>
      </c>
      <c r="C178" s="7">
        <v>531</v>
      </c>
      <c r="D178" s="7">
        <v>34</v>
      </c>
      <c r="E178" s="7">
        <v>384515</v>
      </c>
      <c r="F178" s="7">
        <v>0</v>
      </c>
      <c r="G178" s="7">
        <v>249117</v>
      </c>
      <c r="H178" s="7">
        <v>95571</v>
      </c>
      <c r="I178" s="7">
        <v>8210</v>
      </c>
      <c r="J178" s="7">
        <v>31617</v>
      </c>
      <c r="K178" s="8">
        <v>403</v>
      </c>
      <c r="L178" s="8">
        <v>27</v>
      </c>
      <c r="M178" s="8">
        <v>319356</v>
      </c>
      <c r="N178" s="8">
        <v>0</v>
      </c>
      <c r="O178" s="8">
        <v>198189</v>
      </c>
      <c r="P178" s="8">
        <v>89945</v>
      </c>
      <c r="Q178" s="8">
        <v>4562</v>
      </c>
      <c r="R178" s="8">
        <v>26660</v>
      </c>
      <c r="S178" s="9">
        <v>128</v>
      </c>
      <c r="T178" s="9">
        <v>7</v>
      </c>
      <c r="U178" s="9">
        <v>65159</v>
      </c>
      <c r="V178" s="9">
        <v>0</v>
      </c>
      <c r="W178" s="9">
        <v>50928</v>
      </c>
      <c r="X178" s="9">
        <v>5626</v>
      </c>
      <c r="Y178" s="9">
        <v>3648</v>
      </c>
      <c r="Z178" s="9">
        <v>4957</v>
      </c>
      <c r="AB178" s="7">
        <f t="shared" si="9"/>
        <v>12817.166666666666</v>
      </c>
      <c r="AC178" s="7">
        <f t="shared" si="10"/>
        <v>8303.9</v>
      </c>
      <c r="AD178" s="7">
        <f t="shared" si="11"/>
        <v>3185.7</v>
      </c>
    </row>
    <row r="179" spans="1:40" x14ac:dyDescent="0.3">
      <c r="A179" s="2">
        <v>45200</v>
      </c>
      <c r="B179" s="10">
        <f t="shared" ref="B179:B185" si="13">_xlfn.DAYS(EOMONTH(A179,0),A179)+1</f>
        <v>31</v>
      </c>
      <c r="C179" s="7">
        <v>636</v>
      </c>
      <c r="D179" s="7">
        <v>32</v>
      </c>
      <c r="E179" s="7">
        <v>433448</v>
      </c>
      <c r="F179" s="7">
        <v>0</v>
      </c>
      <c r="G179" s="7">
        <v>297161</v>
      </c>
      <c r="H179" s="7">
        <v>94185</v>
      </c>
      <c r="I179" s="7">
        <v>4624</v>
      </c>
      <c r="J179" s="7">
        <v>37478</v>
      </c>
      <c r="K179" s="8">
        <v>490</v>
      </c>
      <c r="L179" s="8">
        <v>27</v>
      </c>
      <c r="M179" s="8">
        <v>363242</v>
      </c>
      <c r="N179" s="8">
        <v>0</v>
      </c>
      <c r="O179" s="8">
        <v>238632</v>
      </c>
      <c r="P179" s="8">
        <v>90755</v>
      </c>
      <c r="Q179" s="8">
        <v>3622</v>
      </c>
      <c r="R179" s="8">
        <v>30233</v>
      </c>
      <c r="S179" s="9">
        <v>146</v>
      </c>
      <c r="T179" s="9">
        <v>5</v>
      </c>
      <c r="U179" s="9">
        <v>70206</v>
      </c>
      <c r="V179" s="9">
        <v>0</v>
      </c>
      <c r="W179" s="9">
        <v>58529</v>
      </c>
      <c r="X179" s="9">
        <v>3430</v>
      </c>
      <c r="Y179" s="9">
        <v>1002</v>
      </c>
      <c r="Z179" s="9">
        <v>7245</v>
      </c>
      <c r="AB179" s="7">
        <f t="shared" si="9"/>
        <v>13982.193548387097</v>
      </c>
      <c r="AC179" s="7">
        <f t="shared" si="10"/>
        <v>9585.8387096774186</v>
      </c>
      <c r="AD179" s="7">
        <f t="shared" si="11"/>
        <v>3038.2258064516127</v>
      </c>
    </row>
    <row r="180" spans="1:40" x14ac:dyDescent="0.3">
      <c r="A180" s="2">
        <v>45231</v>
      </c>
      <c r="B180" s="10">
        <f t="shared" si="13"/>
        <v>30</v>
      </c>
      <c r="C180" s="7">
        <v>535</v>
      </c>
      <c r="D180" s="7">
        <v>30</v>
      </c>
      <c r="E180" s="7">
        <v>381648</v>
      </c>
      <c r="F180" s="7">
        <v>0</v>
      </c>
      <c r="G180" s="7">
        <v>254343</v>
      </c>
      <c r="H180" s="7">
        <v>76327</v>
      </c>
      <c r="I180" s="7">
        <v>7681</v>
      </c>
      <c r="J180" s="7">
        <v>43297</v>
      </c>
      <c r="K180" s="8">
        <v>396</v>
      </c>
      <c r="L180" s="8">
        <v>25</v>
      </c>
      <c r="M180" s="8">
        <v>312706</v>
      </c>
      <c r="N180" s="8">
        <v>0</v>
      </c>
      <c r="O180" s="8">
        <v>203261</v>
      </c>
      <c r="P180" s="8">
        <v>71027</v>
      </c>
      <c r="Q180" s="8">
        <v>4873</v>
      </c>
      <c r="R180" s="8">
        <v>33545</v>
      </c>
      <c r="S180" s="9">
        <v>139</v>
      </c>
      <c r="T180" s="9">
        <v>5</v>
      </c>
      <c r="U180" s="9">
        <v>68942</v>
      </c>
      <c r="V180" s="9">
        <v>0</v>
      </c>
      <c r="W180" s="9">
        <v>51082</v>
      </c>
      <c r="X180" s="9">
        <v>5300</v>
      </c>
      <c r="Y180" s="9">
        <v>2808</v>
      </c>
      <c r="Z180" s="9">
        <v>9752</v>
      </c>
      <c r="AB180" s="7">
        <f t="shared" si="9"/>
        <v>12721.6</v>
      </c>
      <c r="AC180" s="7">
        <f t="shared" si="10"/>
        <v>8478.1</v>
      </c>
      <c r="AD180" s="7">
        <f t="shared" si="11"/>
        <v>2544.2333333333331</v>
      </c>
    </row>
    <row r="181" spans="1:40" x14ac:dyDescent="0.3">
      <c r="A181" s="2">
        <v>45261</v>
      </c>
      <c r="B181" s="10">
        <f t="shared" si="13"/>
        <v>31</v>
      </c>
      <c r="C181" s="7">
        <v>510</v>
      </c>
      <c r="D181" s="7">
        <v>31</v>
      </c>
      <c r="E181" s="7">
        <v>392063</v>
      </c>
      <c r="F181" s="7">
        <v>0</v>
      </c>
      <c r="G181" s="7">
        <v>265687</v>
      </c>
      <c r="H181" s="7">
        <v>88223</v>
      </c>
      <c r="I181" s="7">
        <v>4364</v>
      </c>
      <c r="J181" s="7">
        <v>33789</v>
      </c>
      <c r="K181" s="8">
        <v>389</v>
      </c>
      <c r="L181" s="8">
        <v>26</v>
      </c>
      <c r="M181" s="8">
        <v>323628</v>
      </c>
      <c r="N181" s="8">
        <v>0</v>
      </c>
      <c r="O181" s="8">
        <v>216658</v>
      </c>
      <c r="P181" s="8">
        <v>78563</v>
      </c>
      <c r="Q181" s="8">
        <v>1589</v>
      </c>
      <c r="R181" s="8">
        <v>26818</v>
      </c>
      <c r="S181" s="9">
        <v>121</v>
      </c>
      <c r="T181" s="9">
        <v>5</v>
      </c>
      <c r="U181" s="9">
        <v>68435</v>
      </c>
      <c r="V181" s="9">
        <v>0</v>
      </c>
      <c r="W181" s="9">
        <v>49029</v>
      </c>
      <c r="X181" s="9">
        <v>9660</v>
      </c>
      <c r="Y181" s="9">
        <v>2775</v>
      </c>
      <c r="Z181" s="9">
        <v>6971</v>
      </c>
      <c r="AB181" s="7">
        <f t="shared" si="9"/>
        <v>12647.193548387097</v>
      </c>
      <c r="AC181" s="7">
        <f t="shared" si="10"/>
        <v>8570.5483870967746</v>
      </c>
      <c r="AD181" s="7">
        <f t="shared" si="11"/>
        <v>2845.9032258064517</v>
      </c>
    </row>
    <row r="182" spans="1:40" x14ac:dyDescent="0.3">
      <c r="A182" s="2">
        <v>45292</v>
      </c>
      <c r="B182" s="10">
        <f t="shared" si="13"/>
        <v>31</v>
      </c>
      <c r="C182" s="7">
        <v>496</v>
      </c>
      <c r="D182" s="7">
        <v>32</v>
      </c>
      <c r="E182" s="7">
        <v>377542</v>
      </c>
      <c r="F182" s="7">
        <v>0</v>
      </c>
      <c r="G182" s="7">
        <v>247541</v>
      </c>
      <c r="H182" s="7">
        <v>88742</v>
      </c>
      <c r="I182" s="7">
        <v>8157</v>
      </c>
      <c r="J182" s="7">
        <v>33102</v>
      </c>
      <c r="K182" s="8">
        <v>361</v>
      </c>
      <c r="L182" s="8">
        <v>26</v>
      </c>
      <c r="M182" s="8">
        <v>298234</v>
      </c>
      <c r="N182" s="8">
        <v>0</v>
      </c>
      <c r="O182" s="8">
        <v>191025</v>
      </c>
      <c r="P182" s="8">
        <v>78177</v>
      </c>
      <c r="Q182" s="8">
        <v>3322</v>
      </c>
      <c r="R182" s="8">
        <v>25710</v>
      </c>
      <c r="S182" s="9">
        <v>135</v>
      </c>
      <c r="T182" s="9">
        <v>6</v>
      </c>
      <c r="U182" s="9">
        <v>79308</v>
      </c>
      <c r="V182" s="9">
        <v>0</v>
      </c>
      <c r="W182" s="9">
        <v>56516</v>
      </c>
      <c r="X182" s="9">
        <v>10565</v>
      </c>
      <c r="Y182" s="9">
        <v>4835</v>
      </c>
      <c r="Z182" s="9">
        <v>7392</v>
      </c>
      <c r="AB182" s="7">
        <f t="shared" si="9"/>
        <v>12178.774193548386</v>
      </c>
      <c r="AC182" s="7">
        <f t="shared" si="10"/>
        <v>7985.1935483870966</v>
      </c>
      <c r="AD182" s="7">
        <f t="shared" si="11"/>
        <v>2862.6451612903224</v>
      </c>
    </row>
    <row r="183" spans="1:40" x14ac:dyDescent="0.3">
      <c r="A183" s="2">
        <v>45323</v>
      </c>
      <c r="B183" s="10">
        <f t="shared" si="13"/>
        <v>29</v>
      </c>
      <c r="C183" s="7">
        <v>484</v>
      </c>
      <c r="D183" s="7">
        <v>32</v>
      </c>
      <c r="E183" s="7">
        <v>352541</v>
      </c>
      <c r="F183" s="7">
        <v>0</v>
      </c>
      <c r="G183" s="7">
        <v>219607</v>
      </c>
      <c r="H183" s="7">
        <v>94151</v>
      </c>
      <c r="I183" s="7">
        <v>11770</v>
      </c>
      <c r="J183" s="7">
        <v>27013</v>
      </c>
      <c r="K183" s="8">
        <v>351</v>
      </c>
      <c r="L183" s="8">
        <v>27</v>
      </c>
      <c r="M183" s="8">
        <v>272618</v>
      </c>
      <c r="N183" s="8">
        <v>0</v>
      </c>
      <c r="O183" s="8">
        <v>156053</v>
      </c>
      <c r="P183" s="8">
        <v>86515</v>
      </c>
      <c r="Q183" s="8">
        <v>8639</v>
      </c>
      <c r="R183" s="8">
        <v>21411</v>
      </c>
      <c r="S183" s="9">
        <v>133</v>
      </c>
      <c r="T183" s="9">
        <v>5</v>
      </c>
      <c r="U183" s="9">
        <v>79923</v>
      </c>
      <c r="V183" s="9">
        <v>0</v>
      </c>
      <c r="W183" s="9">
        <v>63554</v>
      </c>
      <c r="X183" s="9">
        <v>7636</v>
      </c>
      <c r="Y183" s="9">
        <v>3131</v>
      </c>
      <c r="Z183" s="9">
        <v>5602</v>
      </c>
      <c r="AB183" s="7">
        <f t="shared" ref="AB183:AB188" si="14">E183/B183</f>
        <v>12156.586206896553</v>
      </c>
      <c r="AC183" s="7">
        <f t="shared" ref="AC183:AC188" si="15">G183/B183</f>
        <v>7572.6551724137935</v>
      </c>
      <c r="AD183" s="7">
        <f>H183/B183</f>
        <v>3246.5862068965516</v>
      </c>
      <c r="AG183">
        <v>2019</v>
      </c>
      <c r="AH183">
        <v>2020</v>
      </c>
      <c r="AI183">
        <v>2021</v>
      </c>
      <c r="AJ183">
        <v>2022</v>
      </c>
      <c r="AK183">
        <v>2023</v>
      </c>
      <c r="AL183">
        <v>2024</v>
      </c>
      <c r="AM183">
        <v>2025</v>
      </c>
      <c r="AN183">
        <v>2026</v>
      </c>
    </row>
    <row r="184" spans="1:40" x14ac:dyDescent="0.3">
      <c r="A184" s="2">
        <v>45352</v>
      </c>
      <c r="B184" s="10">
        <f t="shared" si="13"/>
        <v>31</v>
      </c>
      <c r="C184" s="7">
        <v>479</v>
      </c>
      <c r="D184" s="7">
        <v>31</v>
      </c>
      <c r="E184" s="7">
        <v>390678</v>
      </c>
      <c r="F184" s="7">
        <v>0</v>
      </c>
      <c r="G184" s="7">
        <v>234332</v>
      </c>
      <c r="H184" s="7">
        <v>114229</v>
      </c>
      <c r="I184" s="7">
        <v>14242</v>
      </c>
      <c r="J184" s="7">
        <v>27875</v>
      </c>
      <c r="K184" s="8">
        <v>371</v>
      </c>
      <c r="L184" s="8">
        <v>26</v>
      </c>
      <c r="M184" s="8">
        <v>329076</v>
      </c>
      <c r="N184" s="8">
        <v>0</v>
      </c>
      <c r="O184" s="8">
        <v>191038</v>
      </c>
      <c r="P184" s="8">
        <v>106059</v>
      </c>
      <c r="Q184" s="8">
        <v>10270</v>
      </c>
      <c r="R184" s="8">
        <v>21709</v>
      </c>
      <c r="S184" s="9">
        <v>108</v>
      </c>
      <c r="T184" s="9">
        <v>5</v>
      </c>
      <c r="U184" s="9">
        <v>61602</v>
      </c>
      <c r="V184" s="9">
        <v>0</v>
      </c>
      <c r="W184" s="9">
        <v>43294</v>
      </c>
      <c r="X184" s="9">
        <v>8170</v>
      </c>
      <c r="Y184" s="9">
        <v>3972</v>
      </c>
      <c r="Z184" s="9">
        <v>6166</v>
      </c>
      <c r="AB184" s="7">
        <f t="shared" si="14"/>
        <v>12602.516129032258</v>
      </c>
      <c r="AC184" s="7">
        <f t="shared" si="15"/>
        <v>7559.0967741935483</v>
      </c>
      <c r="AD184" s="7">
        <f>H184/B184</f>
        <v>3684.8064516129034</v>
      </c>
      <c r="AF184" t="s">
        <v>25</v>
      </c>
      <c r="AG184" s="11">
        <f t="shared" ref="AG184:AG195" si="16">AB122</f>
        <v>14151</v>
      </c>
      <c r="AH184" s="11">
        <f t="shared" ref="AH184:AH195" si="17">AB134</f>
        <v>15398.032258064517</v>
      </c>
      <c r="AI184" s="11">
        <f t="shared" ref="AI184:AI195" si="18">AB146</f>
        <v>13343.548387096775</v>
      </c>
      <c r="AJ184" s="11">
        <f t="shared" ref="AJ184:AJ195" si="19">AB158</f>
        <v>14569.806451612903</v>
      </c>
      <c r="AK184" s="11">
        <f t="shared" ref="AK184:AK195" si="20">AB170</f>
        <v>14026.032258064517</v>
      </c>
      <c r="AL184" s="11">
        <f t="shared" ref="AL184:AL195" si="21">AB182</f>
        <v>12178.774193548386</v>
      </c>
      <c r="AM184" s="11">
        <f t="shared" ref="AM184:AM195" si="22">AB194</f>
        <v>15416.129032258064</v>
      </c>
      <c r="AN184" s="11">
        <f>AB206</f>
        <v>15763.258064516129</v>
      </c>
    </row>
    <row r="185" spans="1:40" x14ac:dyDescent="0.3">
      <c r="A185" s="2">
        <v>45383</v>
      </c>
      <c r="B185" s="10">
        <f t="shared" si="13"/>
        <v>30</v>
      </c>
      <c r="C185" s="7">
        <v>500</v>
      </c>
      <c r="D185" s="7">
        <v>26</v>
      </c>
      <c r="E185" s="7">
        <v>375848</v>
      </c>
      <c r="F185" s="7">
        <v>0</v>
      </c>
      <c r="G185" s="7">
        <v>225732</v>
      </c>
      <c r="H185" s="7">
        <v>114093</v>
      </c>
      <c r="I185" s="7">
        <v>6335</v>
      </c>
      <c r="J185" s="7">
        <v>29688</v>
      </c>
      <c r="K185" s="8">
        <v>371</v>
      </c>
      <c r="L185" s="8">
        <v>21</v>
      </c>
      <c r="M185" s="8">
        <v>302207</v>
      </c>
      <c r="N185" s="8">
        <v>0</v>
      </c>
      <c r="O185" s="8">
        <v>170075</v>
      </c>
      <c r="P185" s="8">
        <v>108242</v>
      </c>
      <c r="Q185" s="8">
        <v>3770</v>
      </c>
      <c r="R185" s="8">
        <v>20120</v>
      </c>
      <c r="S185" s="9">
        <v>129</v>
      </c>
      <c r="T185" s="9">
        <v>5</v>
      </c>
      <c r="U185" s="9">
        <v>73641</v>
      </c>
      <c r="V185" s="9">
        <v>0</v>
      </c>
      <c r="W185" s="9">
        <v>55657</v>
      </c>
      <c r="X185" s="9">
        <v>5851</v>
      </c>
      <c r="Y185" s="9">
        <v>2565</v>
      </c>
      <c r="Z185" s="9">
        <v>9568</v>
      </c>
      <c r="AB185" s="7">
        <f t="shared" si="14"/>
        <v>12528.266666666666</v>
      </c>
      <c r="AC185" s="7">
        <f t="shared" si="15"/>
        <v>7524.4</v>
      </c>
      <c r="AD185" s="7">
        <f>H185/B185</f>
        <v>3803.1</v>
      </c>
      <c r="AF185" t="s">
        <v>26</v>
      </c>
      <c r="AG185" s="11">
        <f t="shared" si="16"/>
        <v>13138.392857142857</v>
      </c>
      <c r="AH185" s="11">
        <f t="shared" si="17"/>
        <v>15271.931034482759</v>
      </c>
      <c r="AI185" s="11">
        <f t="shared" si="18"/>
        <v>14943.392857142857</v>
      </c>
      <c r="AJ185" s="11">
        <f t="shared" si="19"/>
        <v>13487.464285714286</v>
      </c>
      <c r="AK185" s="11">
        <f t="shared" si="20"/>
        <v>14417.964285714286</v>
      </c>
      <c r="AL185" s="11">
        <f t="shared" si="21"/>
        <v>12156.586206896553</v>
      </c>
      <c r="AM185" s="11">
        <f t="shared" si="22"/>
        <v>14859.321428571429</v>
      </c>
      <c r="AN185" s="11">
        <f>AB207</f>
        <v>15858.642857142857</v>
      </c>
    </row>
    <row r="186" spans="1:40" x14ac:dyDescent="0.3">
      <c r="A186" s="2">
        <v>45413</v>
      </c>
      <c r="B186" s="10">
        <f t="shared" ref="B186:B204" si="23">_xlfn.DAYS(EOMONTH(A186,0),A186)+1</f>
        <v>31</v>
      </c>
      <c r="C186" s="7">
        <v>480</v>
      </c>
      <c r="D186" s="7">
        <v>28</v>
      </c>
      <c r="E186" s="7">
        <v>398064</v>
      </c>
      <c r="F186" s="7">
        <v>0</v>
      </c>
      <c r="G186" s="7">
        <v>244616</v>
      </c>
      <c r="H186" s="7">
        <v>118519</v>
      </c>
      <c r="I186" s="7">
        <v>3744</v>
      </c>
      <c r="J186" s="7">
        <v>31185</v>
      </c>
      <c r="K186" s="8">
        <v>361</v>
      </c>
      <c r="L186" s="8">
        <v>22</v>
      </c>
      <c r="M186" s="8">
        <v>323084</v>
      </c>
      <c r="N186" s="8">
        <v>0</v>
      </c>
      <c r="O186" s="8">
        <v>184761</v>
      </c>
      <c r="P186" s="8">
        <v>112011</v>
      </c>
      <c r="Q186" s="8">
        <v>2199</v>
      </c>
      <c r="R186" s="8">
        <v>24113</v>
      </c>
      <c r="S186" s="9">
        <v>119</v>
      </c>
      <c r="T186" s="9">
        <v>6</v>
      </c>
      <c r="U186" s="9">
        <v>74980</v>
      </c>
      <c r="V186" s="9">
        <v>0</v>
      </c>
      <c r="W186" s="9">
        <v>59855</v>
      </c>
      <c r="X186" s="9">
        <v>6508</v>
      </c>
      <c r="Y186" s="9">
        <v>1545</v>
      </c>
      <c r="Z186" s="9">
        <v>7072</v>
      </c>
      <c r="AA186" s="2">
        <v>45413</v>
      </c>
      <c r="AB186" s="7">
        <f t="shared" si="14"/>
        <v>12840.774193548386</v>
      </c>
      <c r="AC186" s="7">
        <f t="shared" si="15"/>
        <v>7890.8387096774195</v>
      </c>
      <c r="AD186" s="7">
        <f>H186/B186</f>
        <v>3823.1935483870966</v>
      </c>
      <c r="AF186" t="s">
        <v>27</v>
      </c>
      <c r="AG186" s="11">
        <f t="shared" si="16"/>
        <v>14510.161290322581</v>
      </c>
      <c r="AH186" s="11">
        <f t="shared" si="17"/>
        <v>14454.612903225807</v>
      </c>
      <c r="AI186" s="11">
        <f t="shared" si="18"/>
        <v>14258.903225806451</v>
      </c>
      <c r="AJ186" s="11">
        <f t="shared" si="19"/>
        <v>13712.032258064517</v>
      </c>
      <c r="AK186" s="11">
        <f t="shared" si="20"/>
        <v>15078.225806451614</v>
      </c>
      <c r="AL186" s="11">
        <f t="shared" si="21"/>
        <v>12602.516129032258</v>
      </c>
      <c r="AM186" s="11">
        <f t="shared" si="22"/>
        <v>16090.774193548386</v>
      </c>
      <c r="AN186" s="11">
        <f>AB208</f>
        <v>16061.290322580646</v>
      </c>
    </row>
    <row r="187" spans="1:40" x14ac:dyDescent="0.3">
      <c r="A187" s="2">
        <v>45444</v>
      </c>
      <c r="B187" s="10">
        <f t="shared" si="23"/>
        <v>30</v>
      </c>
      <c r="C187" s="7">
        <v>516</v>
      </c>
      <c r="D187" s="7">
        <v>29</v>
      </c>
      <c r="E187" s="7">
        <v>385716</v>
      </c>
      <c r="F187" s="7">
        <v>0</v>
      </c>
      <c r="G187" s="7">
        <v>235534</v>
      </c>
      <c r="H187" s="7">
        <v>109457</v>
      </c>
      <c r="I187" s="7">
        <v>6987</v>
      </c>
      <c r="J187" s="7">
        <v>33738</v>
      </c>
      <c r="K187" s="8">
        <v>385</v>
      </c>
      <c r="L187" s="8">
        <v>24</v>
      </c>
      <c r="M187" s="8">
        <v>311249</v>
      </c>
      <c r="N187" s="8">
        <v>0</v>
      </c>
      <c r="O187" s="8">
        <v>180702</v>
      </c>
      <c r="P187" s="8">
        <v>103652</v>
      </c>
      <c r="Q187" s="8">
        <v>2682</v>
      </c>
      <c r="R187" s="8">
        <v>24213</v>
      </c>
      <c r="S187" s="9">
        <v>131</v>
      </c>
      <c r="T187" s="9">
        <v>5</v>
      </c>
      <c r="U187" s="9">
        <v>74467</v>
      </c>
      <c r="V187" s="9">
        <v>0</v>
      </c>
      <c r="W187" s="9">
        <v>54832</v>
      </c>
      <c r="X187" s="9">
        <v>5805</v>
      </c>
      <c r="Y187" s="9">
        <v>4305</v>
      </c>
      <c r="Z187" s="9">
        <v>9525</v>
      </c>
      <c r="AA187" s="2">
        <v>45444</v>
      </c>
      <c r="AB187" s="7">
        <f t="shared" si="14"/>
        <v>12857.2</v>
      </c>
      <c r="AC187" s="7">
        <f t="shared" si="15"/>
        <v>7851.1333333333332</v>
      </c>
      <c r="AD187" s="7">
        <f>H187/B187</f>
        <v>3648.5666666666666</v>
      </c>
      <c r="AF187" t="s">
        <v>28</v>
      </c>
      <c r="AG187" s="11">
        <f t="shared" si="16"/>
        <v>13555.9</v>
      </c>
      <c r="AH187" s="11">
        <f t="shared" si="17"/>
        <v>13840.733333333334</v>
      </c>
      <c r="AI187" s="11">
        <f t="shared" si="18"/>
        <v>13910.166666666666</v>
      </c>
      <c r="AJ187" s="11">
        <f t="shared" si="19"/>
        <v>15930.033333333333</v>
      </c>
      <c r="AK187" s="11">
        <f t="shared" si="20"/>
        <v>12796.933333333332</v>
      </c>
      <c r="AL187" s="11">
        <f t="shared" si="21"/>
        <v>12528.266666666666</v>
      </c>
      <c r="AM187" s="11">
        <f t="shared" si="22"/>
        <v>15304.2</v>
      </c>
    </row>
    <row r="188" spans="1:40" x14ac:dyDescent="0.3">
      <c r="A188" s="2">
        <v>45474</v>
      </c>
      <c r="B188" s="10">
        <f t="shared" si="23"/>
        <v>31</v>
      </c>
      <c r="C188" s="7">
        <v>573</v>
      </c>
      <c r="D188" s="7">
        <v>31</v>
      </c>
      <c r="E188" s="7">
        <v>436507</v>
      </c>
      <c r="F188" s="7">
        <v>0</v>
      </c>
      <c r="G188" s="7">
        <v>257730</v>
      </c>
      <c r="H188" s="7">
        <v>131116</v>
      </c>
      <c r="I188" s="7">
        <v>10870</v>
      </c>
      <c r="J188" s="7">
        <v>36791</v>
      </c>
      <c r="K188" s="8">
        <v>434</v>
      </c>
      <c r="L188" s="8">
        <v>26</v>
      </c>
      <c r="M188" s="8">
        <v>365673</v>
      </c>
      <c r="N188" s="8">
        <v>0</v>
      </c>
      <c r="O188" s="8">
        <v>207536</v>
      </c>
      <c r="P188" s="8">
        <v>122194</v>
      </c>
      <c r="Q188" s="8">
        <v>7789</v>
      </c>
      <c r="R188" s="8">
        <v>28154</v>
      </c>
      <c r="S188" s="9">
        <v>139</v>
      </c>
      <c r="T188" s="9">
        <v>5</v>
      </c>
      <c r="U188" s="9">
        <v>70834</v>
      </c>
      <c r="V188" s="9">
        <v>0</v>
      </c>
      <c r="W188" s="9">
        <v>50194</v>
      </c>
      <c r="X188" s="9">
        <v>8922</v>
      </c>
      <c r="Y188" s="9">
        <v>3081</v>
      </c>
      <c r="Z188" s="9">
        <v>8637</v>
      </c>
      <c r="AA188" s="2">
        <v>45474</v>
      </c>
      <c r="AB188" s="7">
        <f t="shared" si="14"/>
        <v>14080.870967741936</v>
      </c>
      <c r="AC188" s="7">
        <f t="shared" si="15"/>
        <v>8313.8709677419356</v>
      </c>
      <c r="AD188" s="7">
        <f t="shared" ref="AD188" si="24">H188/B188</f>
        <v>4229.5483870967746</v>
      </c>
      <c r="AF188" t="s">
        <v>29</v>
      </c>
      <c r="AG188" s="11">
        <f t="shared" si="16"/>
        <v>13374.774193548386</v>
      </c>
      <c r="AH188" s="11">
        <f t="shared" si="17"/>
        <v>12482.41935483871</v>
      </c>
      <c r="AI188" s="11">
        <f t="shared" si="18"/>
        <v>13472.354838709678</v>
      </c>
      <c r="AJ188" s="11">
        <f t="shared" si="19"/>
        <v>13589.41935483871</v>
      </c>
      <c r="AK188" s="11">
        <f t="shared" si="20"/>
        <v>13108.225806451614</v>
      </c>
      <c r="AL188" s="11">
        <f t="shared" si="21"/>
        <v>12840.774193548386</v>
      </c>
      <c r="AM188" s="11">
        <f t="shared" si="22"/>
        <v>14625.709677419354</v>
      </c>
    </row>
    <row r="189" spans="1:40" x14ac:dyDescent="0.3">
      <c r="A189" s="2">
        <v>45505</v>
      </c>
      <c r="B189" s="10">
        <f t="shared" si="23"/>
        <v>31</v>
      </c>
      <c r="C189" s="7">
        <v>617</v>
      </c>
      <c r="D189" s="7">
        <v>31</v>
      </c>
      <c r="E189" s="7">
        <v>457126</v>
      </c>
      <c r="F189" s="7">
        <v>0</v>
      </c>
      <c r="G189" s="7">
        <v>264278</v>
      </c>
      <c r="H189" s="7">
        <v>150072</v>
      </c>
      <c r="I189" s="7">
        <v>8012</v>
      </c>
      <c r="J189" s="7">
        <v>34764</v>
      </c>
      <c r="K189" s="8">
        <v>466</v>
      </c>
      <c r="L189" s="8">
        <v>25</v>
      </c>
      <c r="M189" s="8">
        <v>374507</v>
      </c>
      <c r="N189" s="8">
        <v>0</v>
      </c>
      <c r="O189" s="8">
        <v>202734</v>
      </c>
      <c r="P189" s="8">
        <v>140481</v>
      </c>
      <c r="Q189" s="8">
        <v>4529</v>
      </c>
      <c r="R189" s="8">
        <v>26763</v>
      </c>
      <c r="S189" s="9">
        <v>151</v>
      </c>
      <c r="T189" s="9">
        <v>6</v>
      </c>
      <c r="U189" s="9">
        <v>82619</v>
      </c>
      <c r="V189" s="9">
        <v>0</v>
      </c>
      <c r="W189" s="9">
        <v>61544</v>
      </c>
      <c r="X189" s="9">
        <v>9591</v>
      </c>
      <c r="Y189" s="9">
        <v>3483</v>
      </c>
      <c r="Z189" s="9">
        <v>8001</v>
      </c>
      <c r="AA189" s="2">
        <v>45505</v>
      </c>
      <c r="AB189" s="7">
        <f t="shared" ref="AB189" si="25">E189/B189</f>
        <v>14746</v>
      </c>
      <c r="AC189" s="7">
        <f t="shared" ref="AC189" si="26">G189/B189</f>
        <v>8525.0967741935492</v>
      </c>
      <c r="AD189" s="7">
        <f t="shared" ref="AD189" si="27">H189/B189</f>
        <v>4841.0322580645161</v>
      </c>
      <c r="AF189" t="s">
        <v>30</v>
      </c>
      <c r="AG189" s="11">
        <f t="shared" si="16"/>
        <v>16015.466666666667</v>
      </c>
      <c r="AH189" s="11">
        <f t="shared" si="17"/>
        <v>10077.666666666666</v>
      </c>
      <c r="AI189" s="11">
        <f t="shared" si="18"/>
        <v>12571.766666666666</v>
      </c>
      <c r="AJ189" s="11">
        <f t="shared" si="19"/>
        <v>14465.766666666666</v>
      </c>
      <c r="AK189" s="11">
        <f t="shared" si="20"/>
        <v>12765.166666666666</v>
      </c>
      <c r="AL189" s="11">
        <f t="shared" si="21"/>
        <v>12857.2</v>
      </c>
      <c r="AM189" s="11">
        <f t="shared" si="22"/>
        <v>14371.566666666668</v>
      </c>
    </row>
    <row r="190" spans="1:40" x14ac:dyDescent="0.3">
      <c r="A190" s="2">
        <v>45536</v>
      </c>
      <c r="B190" s="10">
        <f t="shared" si="23"/>
        <v>30</v>
      </c>
      <c r="C190" s="7">
        <v>601</v>
      </c>
      <c r="D190" s="7">
        <v>35</v>
      </c>
      <c r="E190" s="7">
        <v>427644</v>
      </c>
      <c r="F190" s="7">
        <v>0</v>
      </c>
      <c r="G190" s="7">
        <v>267115</v>
      </c>
      <c r="H190" s="7">
        <v>117498</v>
      </c>
      <c r="I190" s="7">
        <v>5030</v>
      </c>
      <c r="J190" s="7">
        <v>38001</v>
      </c>
      <c r="K190" s="8">
        <v>463</v>
      </c>
      <c r="L190" s="8">
        <v>27</v>
      </c>
      <c r="M190" s="8">
        <v>354209</v>
      </c>
      <c r="N190" s="8">
        <v>0</v>
      </c>
      <c r="O190" s="8">
        <v>218170</v>
      </c>
      <c r="P190" s="8">
        <v>105276</v>
      </c>
      <c r="Q190" s="8">
        <v>2010</v>
      </c>
      <c r="R190" s="8">
        <v>28753</v>
      </c>
      <c r="S190" s="9">
        <v>138</v>
      </c>
      <c r="T190" s="9">
        <v>8</v>
      </c>
      <c r="U190" s="9">
        <v>73435</v>
      </c>
      <c r="V190" s="9">
        <v>0</v>
      </c>
      <c r="W190" s="9">
        <v>48945</v>
      </c>
      <c r="X190" s="9">
        <v>12222</v>
      </c>
      <c r="Y190" s="9">
        <v>3020</v>
      </c>
      <c r="Z190" s="9">
        <v>9248</v>
      </c>
      <c r="AA190" s="2">
        <v>45536</v>
      </c>
      <c r="AB190" s="7">
        <f t="shared" ref="AB190" si="28">E190/B190</f>
        <v>14254.8</v>
      </c>
      <c r="AC190" s="7">
        <f>G190/B190</f>
        <v>8903.8333333333339</v>
      </c>
      <c r="AD190" s="7">
        <f t="shared" ref="AD190" si="29">H190/B190</f>
        <v>3916.6</v>
      </c>
      <c r="AF190" t="s">
        <v>31</v>
      </c>
      <c r="AG190" s="11">
        <f t="shared" si="16"/>
        <v>15617.548387096775</v>
      </c>
      <c r="AH190" s="11">
        <f t="shared" si="17"/>
        <v>10872.096774193549</v>
      </c>
      <c r="AI190" s="11">
        <f t="shared" si="18"/>
        <v>12490.903225806451</v>
      </c>
      <c r="AJ190" s="11">
        <f t="shared" si="19"/>
        <v>14452.806451612903</v>
      </c>
      <c r="AK190" s="11">
        <f t="shared" si="20"/>
        <v>13305.741935483871</v>
      </c>
      <c r="AL190" s="11">
        <f t="shared" si="21"/>
        <v>14080.870967741936</v>
      </c>
      <c r="AM190" s="11">
        <f t="shared" si="22"/>
        <v>12488.774193548386</v>
      </c>
    </row>
    <row r="191" spans="1:40" x14ac:dyDescent="0.3">
      <c r="A191" s="2">
        <v>45566</v>
      </c>
      <c r="B191" s="10">
        <f t="shared" si="23"/>
        <v>31</v>
      </c>
      <c r="C191" s="7">
        <v>651</v>
      </c>
      <c r="D191" s="7">
        <v>31</v>
      </c>
      <c r="E191" s="7">
        <v>524549</v>
      </c>
      <c r="F191" s="7">
        <v>0</v>
      </c>
      <c r="G191" s="7">
        <v>316410</v>
      </c>
      <c r="H191" s="7">
        <v>157058</v>
      </c>
      <c r="I191" s="7">
        <v>12659</v>
      </c>
      <c r="J191" s="7">
        <v>38422</v>
      </c>
      <c r="K191" s="8">
        <v>497</v>
      </c>
      <c r="L191" s="8">
        <v>24</v>
      </c>
      <c r="M191" s="8">
        <v>428622</v>
      </c>
      <c r="N191" s="8">
        <v>0</v>
      </c>
      <c r="O191" s="8">
        <v>243647</v>
      </c>
      <c r="P191" s="8">
        <v>145309</v>
      </c>
      <c r="Q191" s="8">
        <v>9940</v>
      </c>
      <c r="R191" s="8">
        <v>29726</v>
      </c>
      <c r="S191" s="9">
        <v>154</v>
      </c>
      <c r="T191" s="9">
        <v>7</v>
      </c>
      <c r="U191" s="9">
        <v>95927</v>
      </c>
      <c r="V191" s="9">
        <v>0</v>
      </c>
      <c r="W191" s="9">
        <v>72763</v>
      </c>
      <c r="X191" s="9">
        <v>11749</v>
      </c>
      <c r="Y191" s="9">
        <v>2719</v>
      </c>
      <c r="Z191" s="9">
        <v>8696</v>
      </c>
      <c r="AA191" s="2">
        <v>45566</v>
      </c>
      <c r="AB191" s="7">
        <f t="shared" ref="AB191" si="30">E191/B191</f>
        <v>16920.935483870966</v>
      </c>
      <c r="AC191" s="7">
        <f>G191/B191</f>
        <v>10206.774193548386</v>
      </c>
      <c r="AD191" s="7">
        <f t="shared" ref="AD191" si="31">H191/B191</f>
        <v>5066.3870967741932</v>
      </c>
      <c r="AF191" t="s">
        <v>32</v>
      </c>
      <c r="AG191" s="11">
        <f t="shared" si="16"/>
        <v>17050.709677419356</v>
      </c>
      <c r="AH191" s="11">
        <f t="shared" si="17"/>
        <v>12001.774193548386</v>
      </c>
      <c r="AI191" s="11">
        <f t="shared" si="18"/>
        <v>12536.774193548386</v>
      </c>
      <c r="AJ191" s="11">
        <f t="shared" si="19"/>
        <v>15240.258064516129</v>
      </c>
      <c r="AK191" s="11">
        <f t="shared" si="20"/>
        <v>13552.516129032258</v>
      </c>
      <c r="AL191" s="11">
        <f t="shared" si="21"/>
        <v>14746</v>
      </c>
      <c r="AM191" s="11">
        <f t="shared" si="22"/>
        <v>13517.935483870968</v>
      </c>
    </row>
    <row r="192" spans="1:40" x14ac:dyDescent="0.3">
      <c r="A192" s="2">
        <v>45597</v>
      </c>
      <c r="B192" s="10">
        <f t="shared" si="23"/>
        <v>30</v>
      </c>
      <c r="C192" s="7">
        <v>617</v>
      </c>
      <c r="D192" s="7">
        <v>34</v>
      </c>
      <c r="E192" s="7">
        <v>468095</v>
      </c>
      <c r="F192" s="7">
        <v>0</v>
      </c>
      <c r="G192" s="7">
        <v>291505</v>
      </c>
      <c r="H192" s="7">
        <v>130680</v>
      </c>
      <c r="I192" s="7">
        <v>7480</v>
      </c>
      <c r="J192" s="7">
        <v>38430</v>
      </c>
      <c r="K192" s="8">
        <v>451</v>
      </c>
      <c r="L192" s="8">
        <v>26</v>
      </c>
      <c r="M192" s="8">
        <v>374840</v>
      </c>
      <c r="N192" s="8">
        <v>0</v>
      </c>
      <c r="O192" s="8">
        <v>223256</v>
      </c>
      <c r="P192" s="8">
        <v>121029</v>
      </c>
      <c r="Q192" s="8">
        <v>3431</v>
      </c>
      <c r="R192" s="8">
        <v>27124</v>
      </c>
      <c r="S192" s="9">
        <v>166</v>
      </c>
      <c r="T192" s="9">
        <v>8</v>
      </c>
      <c r="U192" s="9">
        <v>93255</v>
      </c>
      <c r="V192" s="9">
        <v>0</v>
      </c>
      <c r="W192" s="9">
        <v>68249</v>
      </c>
      <c r="X192" s="9">
        <v>9651</v>
      </c>
      <c r="Y192" s="9">
        <v>4049</v>
      </c>
      <c r="Z192" s="9">
        <v>11306</v>
      </c>
      <c r="AA192" s="2">
        <v>45597</v>
      </c>
      <c r="AB192" s="7">
        <f t="shared" ref="AB192" si="32">E192/B192</f>
        <v>15603.166666666666</v>
      </c>
      <c r="AC192" s="7">
        <f>G192/B192</f>
        <v>9716.8333333333339</v>
      </c>
      <c r="AD192" s="7">
        <f t="shared" ref="AD192" si="33">H192/B192</f>
        <v>4356</v>
      </c>
      <c r="AF192" t="s">
        <v>33</v>
      </c>
      <c r="AG192" s="11">
        <f t="shared" si="16"/>
        <v>13096.233333333334</v>
      </c>
      <c r="AH192" s="11">
        <f t="shared" si="17"/>
        <v>12504.2</v>
      </c>
      <c r="AI192" s="11">
        <f t="shared" si="18"/>
        <v>12934.233333333334</v>
      </c>
      <c r="AJ192" s="11">
        <f t="shared" si="19"/>
        <v>12719</v>
      </c>
      <c r="AK192" s="11">
        <f t="shared" si="20"/>
        <v>12817.166666666666</v>
      </c>
      <c r="AL192" s="11">
        <f t="shared" si="21"/>
        <v>14254.8</v>
      </c>
      <c r="AM192" s="11">
        <f t="shared" si="22"/>
        <v>12534.433333333332</v>
      </c>
    </row>
    <row r="193" spans="1:39" x14ac:dyDescent="0.3">
      <c r="A193" s="2">
        <v>45627</v>
      </c>
      <c r="B193" s="10">
        <f t="shared" si="23"/>
        <v>31</v>
      </c>
      <c r="C193" s="7">
        <v>661</v>
      </c>
      <c r="D193" s="7">
        <v>32</v>
      </c>
      <c r="E193" s="7">
        <v>500563</v>
      </c>
      <c r="F193" s="7">
        <v>0</v>
      </c>
      <c r="G193" s="7">
        <v>287768</v>
      </c>
      <c r="H193" s="7">
        <v>157685</v>
      </c>
      <c r="I193" s="7">
        <v>11347</v>
      </c>
      <c r="J193" s="7">
        <v>43763</v>
      </c>
      <c r="K193" s="8">
        <v>505</v>
      </c>
      <c r="L193" s="8">
        <v>27</v>
      </c>
      <c r="M193" s="8">
        <v>415466</v>
      </c>
      <c r="N193" s="8">
        <v>0</v>
      </c>
      <c r="O193" s="8">
        <v>228222</v>
      </c>
      <c r="P193" s="8">
        <v>145117</v>
      </c>
      <c r="Q193" s="8">
        <v>4997</v>
      </c>
      <c r="R193" s="8">
        <v>37130</v>
      </c>
      <c r="S193" s="9">
        <v>156</v>
      </c>
      <c r="T193" s="9">
        <v>5</v>
      </c>
      <c r="U193" s="9">
        <v>85097</v>
      </c>
      <c r="V193" s="9">
        <v>0</v>
      </c>
      <c r="W193" s="9">
        <v>59546</v>
      </c>
      <c r="X193" s="9">
        <v>12568</v>
      </c>
      <c r="Y193" s="9">
        <v>6350</v>
      </c>
      <c r="Z193" s="9">
        <v>6633</v>
      </c>
      <c r="AA193" s="2">
        <v>45627</v>
      </c>
      <c r="AB193" s="7">
        <f t="shared" ref="AB193" si="34">E193/B193</f>
        <v>16147.193548387097</v>
      </c>
      <c r="AC193" s="7">
        <f>G193/B193</f>
        <v>9282.8387096774186</v>
      </c>
      <c r="AD193" s="7">
        <f t="shared" ref="AD193" si="35">H193/B193</f>
        <v>5086.6129032258068</v>
      </c>
      <c r="AF193" t="s">
        <v>34</v>
      </c>
      <c r="AG193" s="11">
        <f t="shared" si="16"/>
        <v>13662.645161290322</v>
      </c>
      <c r="AH193" s="11">
        <f t="shared" si="17"/>
        <v>13310.387096774193</v>
      </c>
      <c r="AI193" s="11">
        <f t="shared" si="18"/>
        <v>13369.096774193549</v>
      </c>
      <c r="AJ193" s="11">
        <f t="shared" si="19"/>
        <v>14634</v>
      </c>
      <c r="AK193" s="11">
        <f t="shared" si="20"/>
        <v>13982.193548387097</v>
      </c>
      <c r="AL193" s="11">
        <f t="shared" si="21"/>
        <v>16920.935483870966</v>
      </c>
      <c r="AM193" s="11">
        <f t="shared" si="22"/>
        <v>14894.161290322581</v>
      </c>
    </row>
    <row r="194" spans="1:39" x14ac:dyDescent="0.3">
      <c r="A194" s="2">
        <v>45658</v>
      </c>
      <c r="B194" s="10">
        <f t="shared" si="23"/>
        <v>31</v>
      </c>
      <c r="C194" s="7">
        <v>642</v>
      </c>
      <c r="D194" s="7">
        <v>30</v>
      </c>
      <c r="E194" s="7">
        <v>477900</v>
      </c>
      <c r="F194" s="7">
        <v>0</v>
      </c>
      <c r="G194" s="7">
        <v>307024</v>
      </c>
      <c r="H194" s="7">
        <v>117863</v>
      </c>
      <c r="I194" s="7">
        <v>11114</v>
      </c>
      <c r="J194" s="7">
        <v>41899</v>
      </c>
      <c r="K194" s="8">
        <v>479</v>
      </c>
      <c r="L194" s="8">
        <v>25</v>
      </c>
      <c r="M194" s="8">
        <v>392137</v>
      </c>
      <c r="N194" s="8">
        <v>0</v>
      </c>
      <c r="O194" s="8">
        <v>246818</v>
      </c>
      <c r="P194" s="8">
        <v>107860</v>
      </c>
      <c r="Q194" s="8">
        <v>4244</v>
      </c>
      <c r="R194" s="8">
        <v>33215</v>
      </c>
      <c r="S194" s="9">
        <v>163</v>
      </c>
      <c r="T194" s="9">
        <v>5</v>
      </c>
      <c r="U194" s="9">
        <v>85763</v>
      </c>
      <c r="V194" s="9">
        <v>0</v>
      </c>
      <c r="W194" s="9">
        <v>60206</v>
      </c>
      <c r="X194" s="9">
        <v>10003</v>
      </c>
      <c r="Y194" s="9">
        <v>6870</v>
      </c>
      <c r="Z194" s="9">
        <v>8684</v>
      </c>
      <c r="AA194" s="2">
        <v>45658</v>
      </c>
      <c r="AB194" s="7">
        <f t="shared" ref="AB194" si="36">E194/B194</f>
        <v>15416.129032258064</v>
      </c>
      <c r="AC194" s="7">
        <f>G194/B194</f>
        <v>9904</v>
      </c>
      <c r="AD194" s="7">
        <f t="shared" ref="AD194" si="37">H194/B194</f>
        <v>3802.0322580645161</v>
      </c>
      <c r="AF194" t="s">
        <v>35</v>
      </c>
      <c r="AG194" s="11">
        <f t="shared" si="16"/>
        <v>15006.433333333332</v>
      </c>
      <c r="AH194" s="11">
        <f t="shared" si="17"/>
        <v>12124.5</v>
      </c>
      <c r="AI194" s="11">
        <f t="shared" si="18"/>
        <v>15512.666666666666</v>
      </c>
      <c r="AJ194" s="11">
        <f t="shared" si="19"/>
        <v>13759.733333333334</v>
      </c>
      <c r="AK194" s="11">
        <f t="shared" si="20"/>
        <v>12721.6</v>
      </c>
      <c r="AL194" s="11">
        <f t="shared" si="21"/>
        <v>15603.166666666666</v>
      </c>
      <c r="AM194" s="11">
        <f t="shared" si="22"/>
        <v>14284.1</v>
      </c>
    </row>
    <row r="195" spans="1:39" x14ac:dyDescent="0.3">
      <c r="A195" s="2">
        <v>45689</v>
      </c>
      <c r="B195" s="10">
        <f t="shared" si="23"/>
        <v>28</v>
      </c>
      <c r="C195" s="7">
        <v>599</v>
      </c>
      <c r="D195" s="7">
        <v>28</v>
      </c>
      <c r="E195" s="7">
        <v>416061</v>
      </c>
      <c r="F195" s="7">
        <v>900</v>
      </c>
      <c r="G195" s="7">
        <v>265000</v>
      </c>
      <c r="H195" s="7">
        <v>107953</v>
      </c>
      <c r="I195" s="7">
        <v>7562</v>
      </c>
      <c r="J195" s="7">
        <v>35546</v>
      </c>
      <c r="K195" s="8">
        <v>460</v>
      </c>
      <c r="L195" s="8">
        <v>23</v>
      </c>
      <c r="M195" s="8">
        <v>338251</v>
      </c>
      <c r="N195" s="8">
        <v>0</v>
      </c>
      <c r="O195" s="8">
        <v>217165</v>
      </c>
      <c r="P195" s="8">
        <v>90815</v>
      </c>
      <c r="Q195" s="8">
        <v>2818</v>
      </c>
      <c r="R195" s="8">
        <v>27453</v>
      </c>
      <c r="S195" s="9">
        <v>139</v>
      </c>
      <c r="T195" s="9">
        <v>5</v>
      </c>
      <c r="U195" s="9">
        <v>77810</v>
      </c>
      <c r="V195" s="9">
        <v>900</v>
      </c>
      <c r="W195" s="9">
        <v>47835</v>
      </c>
      <c r="X195" s="9">
        <v>17138</v>
      </c>
      <c r="Y195" s="9">
        <v>4744</v>
      </c>
      <c r="Z195" s="9">
        <v>8093</v>
      </c>
      <c r="AA195" s="2">
        <v>45689</v>
      </c>
      <c r="AB195" s="7">
        <f t="shared" ref="AB195:AB201" si="38">E195/B195</f>
        <v>14859.321428571429</v>
      </c>
      <c r="AC195" s="7">
        <f t="shared" ref="AC195:AC201" si="39">G195/B195</f>
        <v>9464.2857142857138</v>
      </c>
      <c r="AD195" s="7">
        <f t="shared" ref="AD195:AD201" si="40">H195/B195</f>
        <v>3855.4642857142858</v>
      </c>
      <c r="AF195" t="s">
        <v>36</v>
      </c>
      <c r="AG195" s="11">
        <f t="shared" si="16"/>
        <v>16617.032258064515</v>
      </c>
      <c r="AH195" s="11">
        <f t="shared" si="17"/>
        <v>13330</v>
      </c>
      <c r="AI195" s="11">
        <f t="shared" si="18"/>
        <v>15697.225806451614</v>
      </c>
      <c r="AJ195" s="11">
        <f t="shared" si="19"/>
        <v>15358.354838709678</v>
      </c>
      <c r="AK195" s="11">
        <f t="shared" si="20"/>
        <v>12647.193548387097</v>
      </c>
      <c r="AL195" s="11">
        <f t="shared" si="21"/>
        <v>16147.193548387097</v>
      </c>
      <c r="AM195" s="11">
        <f t="shared" si="22"/>
        <v>15449.612903225807</v>
      </c>
    </row>
    <row r="196" spans="1:39" ht="15" thickBot="1" x14ac:dyDescent="0.35">
      <c r="A196" s="2">
        <v>45717</v>
      </c>
      <c r="B196" s="10">
        <f t="shared" si="23"/>
        <v>31</v>
      </c>
      <c r="C196" s="7">
        <v>666</v>
      </c>
      <c r="D196" s="7">
        <v>30</v>
      </c>
      <c r="E196" s="7">
        <v>498814</v>
      </c>
      <c r="F196" s="7">
        <v>0</v>
      </c>
      <c r="G196" s="7">
        <v>306752</v>
      </c>
      <c r="H196" s="7">
        <v>136572</v>
      </c>
      <c r="I196" s="7">
        <v>7992</v>
      </c>
      <c r="J196" s="7">
        <v>47498</v>
      </c>
      <c r="K196" s="8">
        <v>524</v>
      </c>
      <c r="L196" s="8">
        <v>25</v>
      </c>
      <c r="M196" s="8">
        <v>422034</v>
      </c>
      <c r="N196" s="8">
        <v>0</v>
      </c>
      <c r="O196" s="8">
        <v>250364</v>
      </c>
      <c r="P196" s="8">
        <v>129968</v>
      </c>
      <c r="Q196" s="8">
        <v>5410</v>
      </c>
      <c r="R196" s="8">
        <v>36292</v>
      </c>
      <c r="S196" s="9">
        <v>142</v>
      </c>
      <c r="T196" s="9">
        <v>5</v>
      </c>
      <c r="U196" s="9">
        <v>76780</v>
      </c>
      <c r="V196" s="9">
        <v>0</v>
      </c>
      <c r="W196" s="9">
        <v>56388</v>
      </c>
      <c r="X196" s="9">
        <v>6604</v>
      </c>
      <c r="Y196" s="9">
        <v>2582</v>
      </c>
      <c r="Z196" s="9">
        <v>11206</v>
      </c>
      <c r="AA196" s="2">
        <v>45717</v>
      </c>
      <c r="AB196" s="7">
        <f t="shared" si="38"/>
        <v>16090.774193548386</v>
      </c>
      <c r="AC196" s="7">
        <f t="shared" si="39"/>
        <v>9895.2258064516136</v>
      </c>
      <c r="AD196" s="7">
        <f t="shared" si="40"/>
        <v>4405.5483870967746</v>
      </c>
      <c r="AG196" s="12"/>
      <c r="AH196" s="13"/>
      <c r="AI196" s="13"/>
    </row>
    <row r="197" spans="1:39" x14ac:dyDescent="0.3">
      <c r="A197" s="2">
        <v>45748</v>
      </c>
      <c r="B197" s="10">
        <f t="shared" si="23"/>
        <v>30</v>
      </c>
      <c r="C197" s="7">
        <v>627</v>
      </c>
      <c r="D197" s="7">
        <v>30</v>
      </c>
      <c r="E197" s="7">
        <v>459126</v>
      </c>
      <c r="F197" s="7">
        <v>0</v>
      </c>
      <c r="G197" s="7">
        <v>273571</v>
      </c>
      <c r="H197" s="7">
        <v>133332</v>
      </c>
      <c r="I197" s="7">
        <v>3941</v>
      </c>
      <c r="J197" s="7">
        <v>48282</v>
      </c>
      <c r="K197" s="8">
        <v>510</v>
      </c>
      <c r="L197" s="8">
        <v>25</v>
      </c>
      <c r="M197" s="8">
        <v>388111</v>
      </c>
      <c r="N197" s="8">
        <v>0</v>
      </c>
      <c r="O197" s="8">
        <v>224027</v>
      </c>
      <c r="P197" s="8">
        <v>121890</v>
      </c>
      <c r="Q197" s="8">
        <v>2485</v>
      </c>
      <c r="R197" s="8">
        <v>39709</v>
      </c>
      <c r="S197" s="9">
        <v>117</v>
      </c>
      <c r="T197" s="9">
        <v>5</v>
      </c>
      <c r="U197" s="9">
        <v>71015</v>
      </c>
      <c r="V197" s="9">
        <v>0</v>
      </c>
      <c r="W197" s="9">
        <v>49544</v>
      </c>
      <c r="X197" s="9">
        <v>11442</v>
      </c>
      <c r="Y197" s="9">
        <v>1456</v>
      </c>
      <c r="Z197" s="9">
        <v>8573</v>
      </c>
      <c r="AA197" s="2">
        <v>45748</v>
      </c>
      <c r="AB197" s="7">
        <f t="shared" si="38"/>
        <v>15304.2</v>
      </c>
      <c r="AC197" s="7">
        <f t="shared" si="39"/>
        <v>9119.0333333333328</v>
      </c>
      <c r="AD197" s="7">
        <f t="shared" si="40"/>
        <v>4444.3999999999996</v>
      </c>
      <c r="AG197" s="14"/>
      <c r="AH197" s="15" t="s">
        <v>39</v>
      </c>
      <c r="AI197" s="15" t="s">
        <v>40</v>
      </c>
      <c r="AJ197" s="16" t="s">
        <v>41</v>
      </c>
    </row>
    <row r="198" spans="1:39" x14ac:dyDescent="0.3">
      <c r="A198" s="2">
        <v>45778</v>
      </c>
      <c r="B198" s="10">
        <f t="shared" si="23"/>
        <v>31</v>
      </c>
      <c r="C198" s="7">
        <v>632</v>
      </c>
      <c r="D198" s="7">
        <v>29</v>
      </c>
      <c r="E198" s="7">
        <v>453397</v>
      </c>
      <c r="F198" s="7">
        <v>0</v>
      </c>
      <c r="G198" s="7">
        <v>276907</v>
      </c>
      <c r="H198" s="7">
        <v>125872</v>
      </c>
      <c r="I198" s="7">
        <v>3525</v>
      </c>
      <c r="J198" s="7">
        <v>47093</v>
      </c>
      <c r="K198" s="8">
        <v>473</v>
      </c>
      <c r="L198" s="8">
        <v>24</v>
      </c>
      <c r="M198" s="8">
        <v>368419</v>
      </c>
      <c r="N198" s="8">
        <v>0</v>
      </c>
      <c r="O198" s="8">
        <v>213589</v>
      </c>
      <c r="P198" s="8">
        <v>117297</v>
      </c>
      <c r="Q198" s="8">
        <v>1538</v>
      </c>
      <c r="R198" s="8">
        <v>35995</v>
      </c>
      <c r="S198" s="9">
        <v>159</v>
      </c>
      <c r="T198" s="9">
        <v>5</v>
      </c>
      <c r="U198" s="9">
        <v>84978</v>
      </c>
      <c r="V198" s="9">
        <v>0</v>
      </c>
      <c r="W198" s="9">
        <v>63318</v>
      </c>
      <c r="X198" s="9">
        <v>8575</v>
      </c>
      <c r="Y198" s="9">
        <v>1987</v>
      </c>
      <c r="Z198" s="9">
        <v>11098</v>
      </c>
      <c r="AA198" s="2">
        <v>45778</v>
      </c>
      <c r="AB198" s="7">
        <f t="shared" si="38"/>
        <v>14625.709677419354</v>
      </c>
      <c r="AC198" s="7">
        <f t="shared" si="39"/>
        <v>8932.4838709677424</v>
      </c>
      <c r="AD198" s="7">
        <f t="shared" si="40"/>
        <v>4060.3870967741937</v>
      </c>
      <c r="AG198" s="17"/>
      <c r="AH198" s="18" cm="1">
        <f t="array" ref="AH198">INDEX(AB:AB,COUNTA(AB:AB))</f>
        <v>16061.290322580646</v>
      </c>
      <c r="AI198" s="18" cm="1">
        <f t="array" ref="AI198">INDEX(AC:AC,COUNTA(AC:AC))</f>
        <v>10336.064516129032</v>
      </c>
      <c r="AJ198" s="19" cm="1">
        <f t="array" ref="AJ198">INDEX(AD:AD,COUNTA(AD:AD))</f>
        <v>3880.1290322580644</v>
      </c>
    </row>
    <row r="199" spans="1:39" x14ac:dyDescent="0.3">
      <c r="A199" s="2">
        <v>45809</v>
      </c>
      <c r="B199" s="10">
        <f t="shared" si="23"/>
        <v>30</v>
      </c>
      <c r="C199" s="7">
        <v>607</v>
      </c>
      <c r="D199" s="7">
        <v>29</v>
      </c>
      <c r="E199" s="7">
        <v>431147</v>
      </c>
      <c r="F199" s="7">
        <v>0</v>
      </c>
      <c r="G199" s="7">
        <v>267076</v>
      </c>
      <c r="H199" s="7">
        <v>117767</v>
      </c>
      <c r="I199" s="7">
        <v>5978</v>
      </c>
      <c r="J199" s="7">
        <v>40326</v>
      </c>
      <c r="K199" s="8">
        <v>465</v>
      </c>
      <c r="L199" s="8">
        <v>23</v>
      </c>
      <c r="M199" s="8">
        <v>349996</v>
      </c>
      <c r="N199" s="8">
        <v>0</v>
      </c>
      <c r="O199" s="8">
        <v>206144</v>
      </c>
      <c r="P199" s="8">
        <v>109432</v>
      </c>
      <c r="Q199" s="8">
        <v>3043</v>
      </c>
      <c r="R199" s="8">
        <v>31377</v>
      </c>
      <c r="S199" s="9">
        <v>142</v>
      </c>
      <c r="T199" s="9">
        <v>6</v>
      </c>
      <c r="U199" s="9">
        <v>81151</v>
      </c>
      <c r="V199" s="9">
        <v>0</v>
      </c>
      <c r="W199" s="9">
        <v>60932</v>
      </c>
      <c r="X199" s="9">
        <v>8335</v>
      </c>
      <c r="Y199" s="9">
        <v>2935</v>
      </c>
      <c r="Z199" s="9">
        <v>8949</v>
      </c>
      <c r="AA199" s="2">
        <v>45809</v>
      </c>
      <c r="AB199" s="7">
        <f t="shared" si="38"/>
        <v>14371.566666666668</v>
      </c>
      <c r="AC199" s="7">
        <f t="shared" si="39"/>
        <v>8902.5333333333328</v>
      </c>
      <c r="AD199" s="7">
        <f t="shared" si="40"/>
        <v>3925.5666666666666</v>
      </c>
      <c r="AG199" s="20" t="s">
        <v>37</v>
      </c>
      <c r="AH199" s="13" cm="1">
        <f t="array" ref="AH199">(INDEX(AB:AB,COUNTA(AB:AB))-INDEX(AB:AB,COUNTA(AB:AB)-1))/INDEX(AB:AB,COUNTA(AB:AB)-1)</f>
        <v>1.2778361128582634E-2</v>
      </c>
      <c r="AI199" s="13" cm="1">
        <f t="array" ref="AI199">(INDEX(AC:AC,COUNTA(AC:AC))-INDEX(AC:AC,COUNTA(AC:AC)-1))/INDEX(AC:AC,COUNTA(AC:AC)-1)</f>
        <v>4.0301535063562315E-2</v>
      </c>
      <c r="AJ199" s="21" cm="1">
        <f t="array" ref="AJ199">(INDEX(AD:AD,COUNTA(AD:AD))-INDEX(AD:AD,COUNTA(AD:AD)-1))/INDEX(AD:AD,COUNTA(AD:AD)-1)</f>
        <v>-4.7879508678470177E-2</v>
      </c>
    </row>
    <row r="200" spans="1:39" x14ac:dyDescent="0.3">
      <c r="A200" s="2">
        <v>45839</v>
      </c>
      <c r="B200" s="10">
        <f t="shared" si="23"/>
        <v>31</v>
      </c>
      <c r="C200" s="7">
        <v>575</v>
      </c>
      <c r="D200" s="7">
        <v>28</v>
      </c>
      <c r="E200" s="7">
        <v>387152</v>
      </c>
      <c r="F200" s="7">
        <v>0</v>
      </c>
      <c r="G200" s="7">
        <v>259478</v>
      </c>
      <c r="H200" s="7">
        <v>86892</v>
      </c>
      <c r="I200" s="7">
        <v>4283</v>
      </c>
      <c r="J200" s="7">
        <v>36499</v>
      </c>
      <c r="K200" s="8">
        <v>427</v>
      </c>
      <c r="L200" s="8">
        <v>23</v>
      </c>
      <c r="M200" s="8">
        <v>316932</v>
      </c>
      <c r="N200" s="8">
        <v>0</v>
      </c>
      <c r="O200" s="8">
        <v>205610</v>
      </c>
      <c r="P200" s="8">
        <v>80850</v>
      </c>
      <c r="Q200" s="8">
        <v>2624</v>
      </c>
      <c r="R200" s="8">
        <v>27848</v>
      </c>
      <c r="S200" s="9">
        <v>148</v>
      </c>
      <c r="T200" s="9">
        <v>5</v>
      </c>
      <c r="U200" s="9">
        <v>70220</v>
      </c>
      <c r="V200" s="9">
        <v>0</v>
      </c>
      <c r="W200" s="9">
        <v>53868</v>
      </c>
      <c r="X200" s="9">
        <v>6042</v>
      </c>
      <c r="Y200" s="9">
        <v>1659</v>
      </c>
      <c r="Z200" s="9">
        <v>8651</v>
      </c>
      <c r="AA200" s="2">
        <v>45839</v>
      </c>
      <c r="AB200" s="7">
        <f t="shared" si="38"/>
        <v>12488.774193548386</v>
      </c>
      <c r="AC200" s="7">
        <f t="shared" si="39"/>
        <v>8370.2580645161288</v>
      </c>
      <c r="AD200" s="7">
        <f t="shared" si="40"/>
        <v>2802.9677419354839</v>
      </c>
      <c r="AG200" s="20"/>
      <c r="AH200" s="10" cm="1">
        <f t="array" ref="AH200">INDEX(AB:AB,COUNTA(AB:AB))-INDEX(AB:AB,COUNTA(AB:AB)-1)</f>
        <v>202.64746543778892</v>
      </c>
      <c r="AI200" s="10" cm="1">
        <f t="array" ref="AI200">INDEX(AC:AC,COUNTA(AC:AC))-INDEX(AC:AC,COUNTA(AC:AC)-1)</f>
        <v>400.42165898617532</v>
      </c>
      <c r="AJ200" s="22" cm="1">
        <f t="array" ref="AJ200">INDEX(AD:AD,COUNTA(AD:AD))-INDEX(AD:AD,COUNTA(AD:AD)-1)</f>
        <v>-195.1209677419356</v>
      </c>
    </row>
    <row r="201" spans="1:39" x14ac:dyDescent="0.3">
      <c r="A201" s="2">
        <v>45870</v>
      </c>
      <c r="B201" s="10">
        <f t="shared" si="23"/>
        <v>31</v>
      </c>
      <c r="C201" s="7">
        <v>598</v>
      </c>
      <c r="D201" s="7">
        <v>28</v>
      </c>
      <c r="E201" s="7">
        <v>419056</v>
      </c>
      <c r="F201" s="7">
        <v>0</v>
      </c>
      <c r="G201" s="7">
        <v>281158</v>
      </c>
      <c r="H201" s="7">
        <v>88237</v>
      </c>
      <c r="I201" s="7">
        <v>3524</v>
      </c>
      <c r="J201" s="7">
        <v>46137</v>
      </c>
      <c r="K201" s="8">
        <v>469</v>
      </c>
      <c r="L201" s="8">
        <v>22</v>
      </c>
      <c r="M201" s="8">
        <v>351419</v>
      </c>
      <c r="N201" s="8">
        <v>0</v>
      </c>
      <c r="O201" s="8">
        <v>227644</v>
      </c>
      <c r="P201" s="8">
        <v>84932</v>
      </c>
      <c r="Q201" s="8">
        <v>356</v>
      </c>
      <c r="R201" s="8">
        <v>38487</v>
      </c>
      <c r="S201" s="9">
        <v>129</v>
      </c>
      <c r="T201" s="9">
        <v>6</v>
      </c>
      <c r="U201" s="9">
        <v>67637</v>
      </c>
      <c r="V201" s="9">
        <v>0</v>
      </c>
      <c r="W201" s="9">
        <v>53514</v>
      </c>
      <c r="X201" s="9">
        <v>3305</v>
      </c>
      <c r="Y201" s="9">
        <v>3168</v>
      </c>
      <c r="Z201" s="9">
        <v>7650</v>
      </c>
      <c r="AA201" s="2">
        <v>45870</v>
      </c>
      <c r="AB201" s="7">
        <f t="shared" si="38"/>
        <v>13517.935483870968</v>
      </c>
      <c r="AC201" s="7">
        <f t="shared" si="39"/>
        <v>9069.6129032258068</v>
      </c>
      <c r="AD201" s="7">
        <f t="shared" si="40"/>
        <v>2846.3548387096776</v>
      </c>
      <c r="AG201" s="20" t="s">
        <v>38</v>
      </c>
      <c r="AH201" s="23" cm="1">
        <f t="array" ref="AH201">(INDEX(AB:AB,COUNTA(AB:AB))-INDEX(AB:AB,COUNTA(AB:AB)-12))/INDEX(AB:AB,COUNTA(AB:AB)-12)</f>
        <v>-1.8323463254839643E-3</v>
      </c>
      <c r="AI201" s="23" cm="1">
        <f t="array" ref="AI201">(INDEX(AC:AC,COUNTA(AC:AC))-INDEX(AC:AC,COUNTA(AC:AC)-12))/INDEX(AC:AC,COUNTA(AC:AC)-12)</f>
        <v>4.4550646776549054E-2</v>
      </c>
      <c r="AJ201" s="24" cm="1">
        <f t="array" ref="AJ201">(INDEX(AD:AD,COUNTA(AD:AD))-INDEX(AD:AD,COUNTA(AD:AD)-12))/INDEX(AD:AD,COUNTA(AD:AD)-12)</f>
        <v>-0.11926309931757618</v>
      </c>
    </row>
    <row r="202" spans="1:39" ht="15" thickBot="1" x14ac:dyDescent="0.35">
      <c r="A202" s="2">
        <v>45901</v>
      </c>
      <c r="B202" s="10">
        <f t="shared" si="23"/>
        <v>30</v>
      </c>
      <c r="C202" s="7">
        <v>592</v>
      </c>
      <c r="D202" s="7">
        <v>31</v>
      </c>
      <c r="E202" s="7">
        <v>376033</v>
      </c>
      <c r="F202" s="7">
        <v>0</v>
      </c>
      <c r="G202" s="7">
        <v>245877</v>
      </c>
      <c r="H202" s="7">
        <v>84913</v>
      </c>
      <c r="I202" s="7">
        <v>4874</v>
      </c>
      <c r="J202" s="7">
        <v>40369</v>
      </c>
      <c r="K202" s="8">
        <v>439</v>
      </c>
      <c r="L202" s="8">
        <v>24</v>
      </c>
      <c r="M202" s="8">
        <v>298270</v>
      </c>
      <c r="N202" s="8">
        <v>0</v>
      </c>
      <c r="O202" s="8">
        <v>187195</v>
      </c>
      <c r="P202" s="8">
        <v>77050</v>
      </c>
      <c r="Q202" s="8">
        <v>1964</v>
      </c>
      <c r="R202" s="8">
        <v>32061</v>
      </c>
      <c r="S202" s="9">
        <v>153</v>
      </c>
      <c r="T202" s="9">
        <v>7</v>
      </c>
      <c r="U202" s="9">
        <v>77763</v>
      </c>
      <c r="V202" s="9">
        <v>0</v>
      </c>
      <c r="W202" s="9">
        <v>58682</v>
      </c>
      <c r="X202" s="9">
        <v>7863</v>
      </c>
      <c r="Y202" s="9">
        <v>2910</v>
      </c>
      <c r="Z202" s="9">
        <v>8308</v>
      </c>
      <c r="AA202" s="2">
        <v>45901</v>
      </c>
      <c r="AB202" s="7">
        <f t="shared" ref="AB202" si="41">E202/B202</f>
        <v>12534.433333333332</v>
      </c>
      <c r="AC202" s="7">
        <f t="shared" ref="AC202" si="42">G202/B202</f>
        <v>8195.9</v>
      </c>
      <c r="AD202" s="7">
        <f t="shared" ref="AD202" si="43">H202/B202</f>
        <v>2830.4333333333334</v>
      </c>
      <c r="AG202" s="25"/>
      <c r="AH202" s="26" cm="1">
        <f t="array" ref="AH202">INDEX(AB:AB,COUNTA(AB:AB))-INDEX(AB:AB,COUNTA(AB:AB)-12)</f>
        <v>-29.483870967740586</v>
      </c>
      <c r="AI202" s="26" cm="1">
        <f t="array" ref="AI202">INDEX(AC:AC,COUNTA(AC:AC))-INDEX(AC:AC,COUNTA(AC:AC)-12)</f>
        <v>440.83870967741859</v>
      </c>
      <c r="AJ202" s="27" cm="1">
        <f t="array" ref="AJ202">INDEX(AD:AD,COUNTA(AD:AD))-INDEX(AD:AD,COUNTA(AD:AD)-12)</f>
        <v>-525.41935483871021</v>
      </c>
    </row>
    <row r="203" spans="1:39" x14ac:dyDescent="0.3">
      <c r="A203" s="2">
        <v>45931</v>
      </c>
      <c r="B203" s="10">
        <f t="shared" si="23"/>
        <v>31</v>
      </c>
      <c r="C203" s="7">
        <v>643</v>
      </c>
      <c r="D203" s="7">
        <v>28</v>
      </c>
      <c r="E203" s="7">
        <v>461719</v>
      </c>
      <c r="F203" s="7">
        <v>1600</v>
      </c>
      <c r="G203" s="7">
        <v>327581</v>
      </c>
      <c r="H203" s="7">
        <v>83386</v>
      </c>
      <c r="I203" s="7">
        <v>3092</v>
      </c>
      <c r="J203" s="7">
        <v>46060</v>
      </c>
      <c r="K203" s="8">
        <v>488</v>
      </c>
      <c r="L203" s="8">
        <v>23</v>
      </c>
      <c r="M203" s="8">
        <v>378485</v>
      </c>
      <c r="N203" s="8">
        <v>0</v>
      </c>
      <c r="O203" s="8">
        <v>264904</v>
      </c>
      <c r="P203" s="8">
        <v>78135</v>
      </c>
      <c r="Q203" s="8">
        <v>411</v>
      </c>
      <c r="R203" s="8">
        <v>35035</v>
      </c>
      <c r="S203" s="9">
        <v>155</v>
      </c>
      <c r="T203" s="9">
        <v>5</v>
      </c>
      <c r="U203" s="9">
        <v>83234</v>
      </c>
      <c r="V203" s="9">
        <v>1600</v>
      </c>
      <c r="W203" s="9">
        <v>62677</v>
      </c>
      <c r="X203" s="9">
        <v>5251</v>
      </c>
      <c r="Y203" s="9">
        <v>2681</v>
      </c>
      <c r="Z203" s="9">
        <v>11025</v>
      </c>
      <c r="AA203" s="2">
        <v>45931</v>
      </c>
      <c r="AB203" s="7">
        <f t="shared" ref="AB203" si="44">E203/B203</f>
        <v>14894.161290322581</v>
      </c>
      <c r="AC203" s="7">
        <f t="shared" ref="AC203" si="45">G203/B203</f>
        <v>10567.129032258064</v>
      </c>
      <c r="AD203" s="7">
        <f t="shared" ref="AD203" si="46">H203/B203</f>
        <v>2689.8709677419356</v>
      </c>
    </row>
    <row r="204" spans="1:39" x14ac:dyDescent="0.3">
      <c r="A204" s="2">
        <v>45962</v>
      </c>
      <c r="B204" s="10">
        <f t="shared" si="23"/>
        <v>30</v>
      </c>
      <c r="C204" s="7">
        <v>595</v>
      </c>
      <c r="D204" s="7">
        <v>28</v>
      </c>
      <c r="E204" s="7">
        <v>428523</v>
      </c>
      <c r="F204" s="7">
        <v>2221</v>
      </c>
      <c r="G204" s="7">
        <v>284498</v>
      </c>
      <c r="H204" s="7">
        <v>93003</v>
      </c>
      <c r="I204" s="7">
        <v>2847</v>
      </c>
      <c r="J204" s="7">
        <v>45954</v>
      </c>
      <c r="K204" s="8">
        <v>440</v>
      </c>
      <c r="L204" s="8">
        <v>22</v>
      </c>
      <c r="M204" s="8">
        <v>339464</v>
      </c>
      <c r="N204" s="8">
        <v>0</v>
      </c>
      <c r="O204" s="8">
        <v>219636</v>
      </c>
      <c r="P204" s="8">
        <v>83808</v>
      </c>
      <c r="Q204" s="8">
        <v>0</v>
      </c>
      <c r="R204" s="8">
        <v>36020</v>
      </c>
      <c r="S204" s="9">
        <v>155</v>
      </c>
      <c r="T204" s="9">
        <v>6</v>
      </c>
      <c r="U204" s="9">
        <v>89059</v>
      </c>
      <c r="V204" s="9">
        <v>2221</v>
      </c>
      <c r="W204" s="9">
        <v>64862</v>
      </c>
      <c r="X204" s="9">
        <v>9195</v>
      </c>
      <c r="Y204" s="9">
        <v>2847</v>
      </c>
      <c r="Z204" s="9">
        <v>9934</v>
      </c>
      <c r="AA204" s="2">
        <v>45962</v>
      </c>
      <c r="AB204" s="7">
        <f t="shared" ref="AB204" si="47">E204/B204</f>
        <v>14284.1</v>
      </c>
      <c r="AC204" s="7">
        <f t="shared" ref="AC204" si="48">G204/B204</f>
        <v>9483.2666666666664</v>
      </c>
      <c r="AD204" s="7">
        <f t="shared" ref="AD204" si="49">H204/B204</f>
        <v>3100.1</v>
      </c>
    </row>
    <row r="205" spans="1:39" x14ac:dyDescent="0.3">
      <c r="A205" s="2">
        <v>45992</v>
      </c>
      <c r="B205" s="10">
        <f t="shared" ref="B205" si="50">_xlfn.DAYS(EOMONTH(A205,0),A205)+1</f>
        <v>31</v>
      </c>
      <c r="C205" s="7">
        <v>656</v>
      </c>
      <c r="D205" s="7">
        <v>31</v>
      </c>
      <c r="E205" s="7">
        <v>478938</v>
      </c>
      <c r="F205" s="7">
        <v>0</v>
      </c>
      <c r="G205" s="7">
        <v>295269</v>
      </c>
      <c r="H205" s="7">
        <v>131736</v>
      </c>
      <c r="I205" s="7">
        <v>5749</v>
      </c>
      <c r="J205" s="7">
        <v>46184</v>
      </c>
      <c r="K205" s="8">
        <v>507</v>
      </c>
      <c r="L205" s="8">
        <v>24</v>
      </c>
      <c r="M205" s="8">
        <v>393308</v>
      </c>
      <c r="N205" s="8">
        <v>0</v>
      </c>
      <c r="O205" s="8">
        <v>234232</v>
      </c>
      <c r="P205" s="8">
        <v>119078</v>
      </c>
      <c r="Q205" s="8">
        <v>2489</v>
      </c>
      <c r="R205" s="8">
        <v>37509</v>
      </c>
      <c r="S205" s="9">
        <v>149</v>
      </c>
      <c r="T205" s="9">
        <v>7</v>
      </c>
      <c r="U205" s="9">
        <v>85630</v>
      </c>
      <c r="V205" s="9">
        <v>0</v>
      </c>
      <c r="W205" s="9">
        <v>61037</v>
      </c>
      <c r="X205" s="9">
        <v>12658</v>
      </c>
      <c r="Y205" s="9">
        <v>3260</v>
      </c>
      <c r="Z205" s="9">
        <v>8675</v>
      </c>
      <c r="AA205" s="2">
        <v>45992</v>
      </c>
      <c r="AB205" s="7">
        <f t="shared" ref="AB205" si="51">E205/B205</f>
        <v>15449.612903225807</v>
      </c>
      <c r="AC205" s="7">
        <f t="shared" ref="AC205" si="52">G205/B205</f>
        <v>9524.8064516129034</v>
      </c>
      <c r="AD205" s="7">
        <f t="shared" ref="AD205" si="53">H205/B205</f>
        <v>4249.5483870967746</v>
      </c>
    </row>
    <row r="206" spans="1:39" x14ac:dyDescent="0.3">
      <c r="A206" s="2">
        <v>46023</v>
      </c>
      <c r="B206" s="10">
        <f t="shared" ref="B206:B207" si="54">_xlfn.DAYS(EOMONTH(A206,0),A206)+1</f>
        <v>31</v>
      </c>
      <c r="C206" s="7">
        <v>674</v>
      </c>
      <c r="D206" s="7">
        <v>29</v>
      </c>
      <c r="E206" s="7">
        <v>488661</v>
      </c>
      <c r="F206" s="7">
        <v>0</v>
      </c>
      <c r="G206" s="7">
        <v>328604</v>
      </c>
      <c r="H206" s="7">
        <v>103891</v>
      </c>
      <c r="I206" s="7">
        <v>9278</v>
      </c>
      <c r="J206" s="7">
        <v>46888</v>
      </c>
      <c r="K206" s="8">
        <v>492</v>
      </c>
      <c r="L206" s="8">
        <v>24</v>
      </c>
      <c r="M206" s="8">
        <v>378626</v>
      </c>
      <c r="N206" s="8">
        <v>0</v>
      </c>
      <c r="O206" s="8">
        <v>237047</v>
      </c>
      <c r="P206" s="8">
        <v>100554</v>
      </c>
      <c r="Q206" s="8">
        <v>4773</v>
      </c>
      <c r="R206" s="8">
        <v>36252</v>
      </c>
      <c r="S206" s="9">
        <v>182</v>
      </c>
      <c r="T206" s="9">
        <v>5</v>
      </c>
      <c r="U206" s="9">
        <v>110035</v>
      </c>
      <c r="V206" s="9">
        <v>0</v>
      </c>
      <c r="W206" s="9">
        <v>91557</v>
      </c>
      <c r="X206" s="9">
        <v>3337</v>
      </c>
      <c r="Y206" s="9">
        <v>4505</v>
      </c>
      <c r="Z206" s="9">
        <v>10636</v>
      </c>
      <c r="AA206" s="2">
        <v>46023</v>
      </c>
      <c r="AB206" s="7">
        <f t="shared" ref="AB206:AB207" si="55">E206/B206</f>
        <v>15763.258064516129</v>
      </c>
      <c r="AC206" s="7">
        <f t="shared" ref="AC206:AC207" si="56">G206/B206</f>
        <v>10600.129032258064</v>
      </c>
      <c r="AD206" s="7">
        <f t="shared" ref="AD206:AD207" si="57">H206/B206</f>
        <v>3351.3225806451615</v>
      </c>
    </row>
    <row r="207" spans="1:39" x14ac:dyDescent="0.3">
      <c r="A207" s="2">
        <v>46054</v>
      </c>
      <c r="B207" s="10">
        <f t="shared" si="54"/>
        <v>28</v>
      </c>
      <c r="C207" s="7">
        <v>609</v>
      </c>
      <c r="D207" s="7">
        <v>31</v>
      </c>
      <c r="E207" s="7">
        <v>444042</v>
      </c>
      <c r="F207" s="7">
        <v>0</v>
      </c>
      <c r="G207" s="7">
        <v>278198</v>
      </c>
      <c r="H207" s="7">
        <v>114107</v>
      </c>
      <c r="I207" s="7">
        <v>10284</v>
      </c>
      <c r="J207" s="7">
        <v>41453</v>
      </c>
      <c r="K207" s="8">
        <v>479</v>
      </c>
      <c r="L207" s="8">
        <v>25</v>
      </c>
      <c r="M207" s="8">
        <v>369406</v>
      </c>
      <c r="N207" s="8">
        <v>0</v>
      </c>
      <c r="O207" s="8">
        <v>218147</v>
      </c>
      <c r="P207" s="8">
        <v>112416</v>
      </c>
      <c r="Q207" s="8">
        <v>4969</v>
      </c>
      <c r="R207" s="8">
        <v>33874</v>
      </c>
      <c r="S207" s="9">
        <v>130</v>
      </c>
      <c r="T207" s="9">
        <v>6</v>
      </c>
      <c r="U207" s="9">
        <v>74636</v>
      </c>
      <c r="V207" s="9">
        <v>0</v>
      </c>
      <c r="W207" s="9">
        <v>60051</v>
      </c>
      <c r="X207" s="9">
        <v>1691</v>
      </c>
      <c r="Y207" s="9">
        <v>5315</v>
      </c>
      <c r="Z207" s="9">
        <v>7579</v>
      </c>
      <c r="AA207" s="2">
        <v>46054</v>
      </c>
      <c r="AB207" s="7">
        <f t="shared" si="55"/>
        <v>15858.642857142857</v>
      </c>
      <c r="AC207" s="7">
        <f t="shared" si="56"/>
        <v>9935.6428571428569</v>
      </c>
      <c r="AD207" s="7">
        <f t="shared" si="57"/>
        <v>4075.25</v>
      </c>
    </row>
    <row r="208" spans="1:39" x14ac:dyDescent="0.3">
      <c r="A208" s="2">
        <v>46082</v>
      </c>
      <c r="B208" s="10">
        <f t="shared" ref="B208" si="58">_xlfn.DAYS(EOMONTH(A208,0),A208)+1</f>
        <v>31</v>
      </c>
      <c r="C208" s="7">
        <v>696</v>
      </c>
      <c r="D208" s="7">
        <v>31</v>
      </c>
      <c r="E208" s="7">
        <v>497900</v>
      </c>
      <c r="F208" s="7">
        <v>0</v>
      </c>
      <c r="G208" s="7">
        <v>320418</v>
      </c>
      <c r="H208" s="7">
        <v>120284</v>
      </c>
      <c r="I208" s="7">
        <v>10683</v>
      </c>
      <c r="J208" s="7">
        <v>46515</v>
      </c>
      <c r="K208" s="8">
        <v>550</v>
      </c>
      <c r="L208" s="8">
        <v>25</v>
      </c>
      <c r="M208" s="8">
        <v>402369</v>
      </c>
      <c r="N208" s="8">
        <v>0</v>
      </c>
      <c r="O208" s="8">
        <v>244394</v>
      </c>
      <c r="P208" s="8">
        <v>113729</v>
      </c>
      <c r="Q208" s="8">
        <v>6621</v>
      </c>
      <c r="R208" s="8">
        <v>37625</v>
      </c>
      <c r="S208" s="9">
        <v>146</v>
      </c>
      <c r="T208" s="9">
        <v>6</v>
      </c>
      <c r="U208" s="9">
        <v>95531</v>
      </c>
      <c r="V208" s="9">
        <v>0</v>
      </c>
      <c r="W208" s="9">
        <v>76024</v>
      </c>
      <c r="X208" s="9">
        <v>6555</v>
      </c>
      <c r="Y208" s="9">
        <v>4062</v>
      </c>
      <c r="Z208" s="9">
        <v>8890</v>
      </c>
      <c r="AA208" s="2">
        <v>46082</v>
      </c>
      <c r="AB208" s="7">
        <f t="shared" ref="AB208" si="59">E208/B208</f>
        <v>16061.290322580646</v>
      </c>
      <c r="AC208" s="7">
        <f t="shared" ref="AC208" si="60">G208/B208</f>
        <v>10336.064516129032</v>
      </c>
      <c r="AD208" s="7">
        <f t="shared" ref="AD208" si="61">H208/B208</f>
        <v>3880.1290322580644</v>
      </c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</sheetData>
  <sortState xmlns:xlrd2="http://schemas.microsoft.com/office/spreadsheetml/2017/richdata2" ref="A2:Z169">
    <sortCondition ref="A2:A169"/>
  </sortState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BA77-7338-4346-A31D-F5247E684593}">
  <dimension ref="A1:A7"/>
  <sheetViews>
    <sheetView workbookViewId="0">
      <selection activeCell="G18" sqref="G18"/>
    </sheetView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6" spans="1:1" x14ac:dyDescent="0.3">
      <c r="A6" t="s">
        <v>45</v>
      </c>
    </row>
    <row r="7" spans="1:1" x14ac:dyDescent="0.3">
      <c r="A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Houghton</dc:creator>
  <cp:lastModifiedBy>Debarati Bhattacharjee</cp:lastModifiedBy>
  <dcterms:created xsi:type="dcterms:W3CDTF">2023-01-26T11:23:22Z</dcterms:created>
  <dcterms:modified xsi:type="dcterms:W3CDTF">2026-04-15T07:30:43Z</dcterms:modified>
</cp:coreProperties>
</file>